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2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9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ليل الاستخدام" sheetId="1" state="visible" r:id="rId3"/>
    <sheet name="مواد الطلب" sheetId="2" state="visible" r:id="rId4"/>
    <sheet name="عمل مباشر" sheetId="3" state="visible" r:id="rId5"/>
    <sheet name="تحميل صناعي" sheetId="4" state="visible" r:id="rId6"/>
    <sheet name="التسعير" sheetId="5" state="visible" r:id="rId7"/>
    <sheet name="حساسية السعر" sheetId="6" state="visible" r:id="rId8"/>
    <sheet name="مقارنة تكلفة" sheetId="7" state="visible" r:id="rId9"/>
    <sheet name="سجل المستندات" sheetId="8" state="visible" r:id="rId10"/>
    <sheet name="أوامر الإنتاج" sheetId="9" state="visible" r:id="rId11"/>
    <sheet name="المشتريات" sheetId="10" state="visible" r:id="rId12"/>
    <sheet name="دفعات العملاء" sheetId="11" state="visible" r:id="rId13"/>
    <sheet name="حركة المخزون" sheetId="12" state="visible" r:id="rId14"/>
    <sheet name="الجرد" sheetId="13" state="visible" r:id="rId15"/>
    <sheet name="الأصول" sheetId="14" state="visible" r:id="rId16"/>
    <sheet name="الإقفال الشهري" sheetId="15" state="visible" r:id="rId17"/>
    <sheet name="طلب العميل" sheetId="16" state="visible" r:id="rId18"/>
  </sheets>
  <definedNames>
    <definedName function="false" hidden="false" localSheetId="8" name="_xlnm.Print_Area" vbProcedure="false">'أوامر الإنتاج'!$A$1:$K$32</definedName>
    <definedName function="false" hidden="false" localSheetId="8" name="_xlnm.Print_Titles" vbProcedure="false">'أوامر الإنتاج'!$1:$2</definedName>
    <definedName function="false" hidden="true" localSheetId="8" name="_xlnm._FilterDatabase" vbProcedure="false">'أوامر الإنتاج'!$A$2:$K$32</definedName>
    <definedName function="false" hidden="false" localSheetId="13" name="_xlnm.Print_Area" vbProcedure="false">الأصول!$A$1:$I$32</definedName>
    <definedName function="false" hidden="false" localSheetId="13" name="_xlnm.Print_Titles" vbProcedure="false">الأصول!$1:$2</definedName>
    <definedName function="false" hidden="true" localSheetId="13" name="_xlnm._FilterDatabase" vbProcedure="false">الأصول!$A$2:$I$32</definedName>
    <definedName function="false" hidden="false" localSheetId="14" name="_xlnm.Print_Area" vbProcedure="false">'الإقفال الشهري'!$A$1:$H$32</definedName>
    <definedName function="false" hidden="false" localSheetId="14" name="_xlnm.Print_Titles" vbProcedure="false">'الإقفال الشهري'!$1:$2</definedName>
    <definedName function="false" hidden="true" localSheetId="14" name="_xlnm._FilterDatabase" vbProcedure="false">'الإقفال الشهري'!$A$2:$H$32</definedName>
    <definedName function="false" hidden="false" localSheetId="4" name="_xlnm.Print_Area" vbProcedure="false">التسعير!$A$1:$B$33</definedName>
    <definedName function="false" hidden="false" localSheetId="4" name="_xlnm.Print_Titles" vbProcedure="false">التسعير!$1:$2</definedName>
    <definedName function="false" hidden="false" localSheetId="12" name="_xlnm.Print_Area" vbProcedure="false">الجرد!$A$1:$J$32</definedName>
    <definedName function="false" hidden="false" localSheetId="12" name="_xlnm.Print_Titles" vbProcedure="false">الجرد!$1:$2</definedName>
    <definedName function="false" hidden="true" localSheetId="12" name="_xlnm._FilterDatabase" vbProcedure="false">الجرد!$A$2:$J$32</definedName>
    <definedName function="false" hidden="false" localSheetId="9" name="_xlnm.Print_Area" vbProcedure="false">المشتريات!$A$1:$K$32</definedName>
    <definedName function="false" hidden="false" localSheetId="9" name="_xlnm.Print_Titles" vbProcedure="false">المشتريات!$1:$2</definedName>
    <definedName function="false" hidden="true" localSheetId="9" name="_xlnm._FilterDatabase" vbProcedure="false">المشتريات!$A$2:$K$32</definedName>
    <definedName function="false" hidden="false" localSheetId="3" name="_xlnm.Print_Area" vbProcedure="false">'تحميل صناعي'!$A$1:$F$32</definedName>
    <definedName function="false" hidden="false" localSheetId="3" name="_xlnm.Print_Titles" vbProcedure="false">'تحميل صناعي'!$1:$2</definedName>
    <definedName function="false" hidden="true" localSheetId="3" name="_xlnm._FilterDatabase" vbProcedure="false">'تحميل صناعي'!$A$2:$F$32</definedName>
    <definedName function="false" hidden="false" localSheetId="11" name="_xlnm.Print_Area" vbProcedure="false">'حركة المخزون'!$A$1:$J$32</definedName>
    <definedName function="false" hidden="false" localSheetId="11" name="_xlnm.Print_Titles" vbProcedure="false">'حركة المخزون'!$1:$2</definedName>
    <definedName function="false" hidden="true" localSheetId="11" name="_xlnm._FilterDatabase" vbProcedure="false">'حركة المخزون'!$A$2:$J$32</definedName>
    <definedName function="false" hidden="false" localSheetId="5" name="_xlnm.Print_Area" vbProcedure="false">'حساسية السعر'!$A$1:$I$32</definedName>
    <definedName function="false" hidden="false" localSheetId="5" name="_xlnm.Print_Titles" vbProcedure="false">'حساسية السعر'!$1:$2</definedName>
    <definedName function="false" hidden="true" localSheetId="5" name="_xlnm._FilterDatabase" vbProcedure="false">'حساسية السعر'!$A$2:$I$32</definedName>
    <definedName function="false" hidden="false" localSheetId="10" name="_xlnm.Print_Area" vbProcedure="false">'دفعات العملاء'!$A$1:$K$32</definedName>
    <definedName function="false" hidden="false" localSheetId="10" name="_xlnm.Print_Titles" vbProcedure="false">'دفعات العملاء'!$1:$2</definedName>
    <definedName function="false" hidden="true" localSheetId="10" name="_xlnm._FilterDatabase" vbProcedure="false">'دفعات العملاء'!$A$2:$K$32</definedName>
    <definedName function="false" hidden="false" localSheetId="0" name="_xlnm.Print_Area" vbProcedure="false">'دليل الاستخدام'!$A$1:$B$18</definedName>
    <definedName function="false" hidden="false" localSheetId="0" name="_xlnm.Print_Titles" vbProcedure="false">'دليل الاستخدام'!$1:$2</definedName>
    <definedName function="false" hidden="false" localSheetId="7" name="_xlnm.Print_Area" vbProcedure="false">'سجل المستندات'!$A$1:$I$32</definedName>
    <definedName function="false" hidden="false" localSheetId="7" name="_xlnm.Print_Titles" vbProcedure="false">'سجل المستندات'!$1:$2</definedName>
    <definedName function="false" hidden="true" localSheetId="7" name="_xlnm._FilterDatabase" vbProcedure="false">'سجل المستندات'!$A$2:$I$32</definedName>
    <definedName function="false" hidden="false" localSheetId="15" name="_xlnm.Print_Area" vbProcedure="false">'طلب العميل'!$A$1:$C$32</definedName>
    <definedName function="false" hidden="false" localSheetId="15" name="_xlnm.Print_Titles" vbProcedure="false">'طلب العميل'!$1:$2</definedName>
    <definedName function="false" hidden="true" localSheetId="15" name="_xlnm._FilterDatabase" vbProcedure="false">'طلب العميل'!$A$2:$C$32</definedName>
    <definedName function="false" hidden="false" localSheetId="2" name="_xlnm.Print_Area" vbProcedure="false">'عمل مباشر'!$A$1:$F$32</definedName>
    <definedName function="false" hidden="false" localSheetId="2" name="_xlnm.Print_Titles" vbProcedure="false">'عمل مباشر'!$1:$2</definedName>
    <definedName function="false" hidden="true" localSheetId="2" name="_xlnm._FilterDatabase" vbProcedure="false">'عمل مباشر'!$A$2:$F$32</definedName>
    <definedName function="false" hidden="false" localSheetId="6" name="_xlnm.Print_Area" vbProcedure="false">'مقارنة تكلفة'!$A$1:$F$13</definedName>
    <definedName function="false" hidden="false" localSheetId="6" name="_xlnm.Print_Titles" vbProcedure="false">'مقارنة تكلفة'!$1:$2</definedName>
    <definedName function="false" hidden="true" localSheetId="6" name="_xlnm._FilterDatabase" vbProcedure="false">'مقارنة تكلفة'!$A$2:$F$32</definedName>
    <definedName function="false" hidden="false" localSheetId="1" name="_xlnm.Print_Area" vbProcedure="false">'مواد الطلب'!$A$1:$H$32</definedName>
    <definedName function="false" hidden="false" localSheetId="1" name="_xlnm.Print_Titles" vbProcedure="false">'مواد الطلب'!$1:$2</definedName>
    <definedName function="false" hidden="true" localSheetId="1" name="_xlnm._FilterDatabase" vbProcedure="false">'مواد الطلب'!$A$2:$H$32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<sst xmlns="http://schemas.openxmlformats.org/spreadsheetml/2006/main" count="252" uniqueCount="217">
  <si>
    <t xml:space="preserve">حزمة مصنع أثاث مكتبي ومنزلي حسب الطلب — السعودية</t>
  </si>
  <si>
    <t xml:space="preserve">الإصدار</t>
  </si>
  <si>
    <t xml:space="preserve">1.0 — 28 أكتوبر 2026</t>
  </si>
  <si>
    <t xml:space="preserve">الغرض</t>
  </si>
  <si>
    <t xml:space="preserve">تقدير وتسعير ومتابعة؛ ليس نظام فوترة إلكترونية أو دفتر أستاذ.</t>
  </si>
  <si>
    <t xml:space="preserve">اللون الأزرق</t>
  </si>
  <si>
    <t xml:space="preserve">مدخلات قابلة للتعديل؛ القيم الحالية مثال وليست بيانات المصنع.</t>
  </si>
  <si>
    <t xml:space="preserve">اللون الرمادي</t>
  </si>
  <si>
    <t xml:space="preserve">معادلات؛ تجنب الكتابة فوقها. الملف غير مقفل لتسهيل التخصيص.</t>
  </si>
  <si>
    <t xml:space="preserve">الخطوة 1</t>
  </si>
  <si>
    <t xml:space="preserve">عدّل مواد الطلب ثم العمل المباشر ثم التحميل الصناعي. استبدل سطر المثال بتفاصيلك.</t>
  </si>
  <si>
    <t xml:space="preserve">الخطوة 2</t>
  </si>
  <si>
    <t xml:space="preserve">في التسعير عدّل الكمية والتكاليف الإضافية والهامش والعمولة والخصم والضريبة.</t>
  </si>
  <si>
    <t xml:space="preserve">الخطوة 3</t>
  </si>
  <si>
    <t xml:space="preserve">راجع صلاحية المدخلات وحد الخصم والربح والإجمالي. لا تصدر قبل اعتماد السعر.</t>
  </si>
  <si>
    <t xml:space="preserve">الفاقد</t>
  </si>
  <si>
    <t xml:space="preserve">نسبة من كمية المدخلات: كمية الصرف = الاحتياج الصافي ÷ (1 − نسبة الفاقد).</t>
  </si>
  <si>
    <t xml:space="preserve">منع التكرار</t>
  </si>
  <si>
    <t xml:space="preserve">لا تكرر تكلفة مواد أو أجور أو كهرباء أو إهلاك في أكثر من معدل.</t>
  </si>
  <si>
    <t xml:space="preserve">الضريبة</t>
  </si>
  <si>
    <t xml:space="preserve">15% مثال لتوريد خاضع لمنشأة مسجلة؛ تحقق من الحالة الفعلية.</t>
  </si>
  <si>
    <t xml:space="preserve">الإيراد والمقدم</t>
  </si>
  <si>
    <t xml:space="preserve">جدول الدفعات سجل متابعة فقط؛ المعالجة الضريبية والمالية موضحة بالدليل.</t>
  </si>
  <si>
    <t xml:space="preserve">القيود</t>
  </si>
  <si>
    <t xml:space="preserve">نماذج السجلات لا تُرحّل محاسبيًا تلقائيًا. راجعها مع الأستاذ والمخزون.</t>
  </si>
  <si>
    <t xml:space="preserve">عدد السطور</t>
  </si>
  <si>
    <t xml:space="preserve">تفاصيل التكلفة تجمع الصفوف 3 إلى 32؛ عند التوسع حدّث نطاقات المعادلات.</t>
  </si>
  <si>
    <t xml:space="preserve">الطلب المختلط</t>
  </si>
  <si>
    <t xml:space="preserve">سعّر كل مجموعة متجانسة بصورة مستقلة؛ قسمة الإجمالي على كمية مختلطة لا تعطي تكلفة صنف صحيحة.</t>
  </si>
  <si>
    <t xml:space="preserve">مقارنة فعلي</t>
  </si>
  <si>
    <t xml:space="preserve">أدخل عناصر مماثلة في التقديري والفعلي؛ موجب الانحراف يعني تجاوز التكلفة.</t>
  </si>
  <si>
    <t xml:space="preserve">التحديث</t>
  </si>
  <si>
    <t xml:space="preserve">المعادلات تعاد عند الفتح. أسعار السوق ومعدلات التشغيل يجب تحديثها من بيانات المصنع.</t>
  </si>
  <si>
    <t xml:space="preserve">الاعتماد</t>
  </si>
  <si>
    <t xml:space="preserve">استكمل اسم المصنع ورقم الطلب ومراجع الأسعار وصلاحية العرض وموافقات التسعير.</t>
  </si>
  <si>
    <t xml:space="preserve">مواد الطلب</t>
  </si>
  <si>
    <t xml:space="preserve">الصنف</t>
  </si>
  <si>
    <t xml:space="preserve">الوحدة</t>
  </si>
  <si>
    <t xml:space="preserve">احتياج صافي</t>
  </si>
  <si>
    <t xml:space="preserve">فاقد من المدخلات %</t>
  </si>
  <si>
    <t xml:space="preserve">كمية صرف</t>
  </si>
  <si>
    <t xml:space="preserve">سعر الوحدة الصافي</t>
  </si>
  <si>
    <t xml:space="preserve">التكلفة</t>
  </si>
  <si>
    <t xml:space="preserve">مرجع السعر</t>
  </si>
  <si>
    <t xml:space="preserve">مثال إجمالي خامات — استبدله بالتفصيل</t>
  </si>
  <si>
    <t xml:space="preserve">حزمة</t>
  </si>
  <si>
    <t xml:space="preserve">مثال وليس عرض مورد</t>
  </si>
  <si>
    <t xml:space="preserve">عمل مباشر</t>
  </si>
  <si>
    <t xml:space="preserve">المرحلة</t>
  </si>
  <si>
    <t xml:space="preserve">العامل/الفئة</t>
  </si>
  <si>
    <t xml:space="preserve">ساعات</t>
  </si>
  <si>
    <t xml:space="preserve">معدل ساعة</t>
  </si>
  <si>
    <t xml:space="preserve">مرجع المعدل</t>
  </si>
  <si>
    <t xml:space="preserve">مثال عمل مباشر</t>
  </si>
  <si>
    <t xml:space="preserve">فريق</t>
  </si>
  <si>
    <t xml:space="preserve">تكلفة ساعة مثال</t>
  </si>
  <si>
    <t xml:space="preserve">تحميل صناعي</t>
  </si>
  <si>
    <t xml:space="preserve">المركز/الآلة</t>
  </si>
  <si>
    <t xml:space="preserve">محرك التحميل</t>
  </si>
  <si>
    <t xml:space="preserve">كمية المحرك</t>
  </si>
  <si>
    <t xml:space="preserve">المعدل</t>
  </si>
  <si>
    <t xml:space="preserve">مكونات المعدل</t>
  </si>
  <si>
    <t xml:space="preserve">مثال تحميل</t>
  </si>
  <si>
    <t xml:space="preserve">ساعة آلة</t>
  </si>
  <si>
    <t xml:space="preserve">مثال؛ لا يشمل الأجر المباشر المدرج في ورقة العمل</t>
  </si>
  <si>
    <t xml:space="preserve">حاسبة تسعير طلب عميل — مثال 10 مكاتب</t>
  </si>
  <si>
    <t xml:space="preserve">رقم الطلب</t>
  </si>
  <si>
    <t xml:space="preserve">SO-EXAMPLE</t>
  </si>
  <si>
    <t xml:space="preserve">عدد الوحدات المتجانسة</t>
  </si>
  <si>
    <t xml:space="preserve">الخامات</t>
  </si>
  <si>
    <t xml:space="preserve">العمل المباشر</t>
  </si>
  <si>
    <t xml:space="preserve">التحميل الصناعي</t>
  </si>
  <si>
    <t xml:space="preserve">تصنيع خارجي</t>
  </si>
  <si>
    <t xml:space="preserve">تصميم خاص</t>
  </si>
  <si>
    <t xml:space="preserve">تغليف</t>
  </si>
  <si>
    <t xml:space="preserve">نقل وتركيب</t>
  </si>
  <si>
    <t xml:space="preserve">مخاطر وضمان للتسعير فقط</t>
  </si>
  <si>
    <t xml:space="preserve">نصيب بيع وإدارة للتسعير</t>
  </si>
  <si>
    <t xml:space="preserve">التكلفة الأساسية C</t>
  </si>
  <si>
    <t xml:space="preserve">هامش مستهدف من صافي البيع</t>
  </si>
  <si>
    <t xml:space="preserve">عمولة من صافي البيع دون ضريبة</t>
  </si>
  <si>
    <t xml:space="preserve">خصم متوقع من سعر القائمة</t>
  </si>
  <si>
    <t xml:space="preserve">معدل الضريبة</t>
  </si>
  <si>
    <t xml:space="preserve">هامش أدنى لاعتماد الخصم</t>
  </si>
  <si>
    <t xml:space="preserve">صلاحية المدخلات</t>
  </si>
  <si>
    <t xml:space="preserve">صافي البيع المستهدف قبل الضريبة</t>
  </si>
  <si>
    <t xml:space="preserve">سعر القائمة قبل الخصم والضريبة</t>
  </si>
  <si>
    <t xml:space="preserve">قيمة الخصم</t>
  </si>
  <si>
    <t xml:space="preserve">صافي البيع بعد الخصم</t>
  </si>
  <si>
    <t xml:space="preserve">ضريبة القيمة المضافة</t>
  </si>
  <si>
    <t xml:space="preserve">الإجمالي شامل الضريبة</t>
  </si>
  <si>
    <t xml:space="preserve">العمولة المتوقعة</t>
  </si>
  <si>
    <t xml:space="preserve">الربح بعد التكاليف المدرجة والعمولة</t>
  </si>
  <si>
    <t xml:space="preserve">هامش الربح المحقق</t>
  </si>
  <si>
    <t xml:space="preserve">سعر الوحدة الصافي قبل الضريبة</t>
  </si>
  <si>
    <t xml:space="preserve">سعر التعادل للتكاليف المدرجة</t>
  </si>
  <si>
    <t xml:space="preserve">أقصى خصم عند الهامش الأدنى</t>
  </si>
  <si>
    <t xml:space="preserve">حالة الخصم</t>
  </si>
  <si>
    <t xml:space="preserve">ملاحظة</t>
  </si>
  <si>
    <t xml:space="preserve">نسب الخصم والعمولة على الأسس المبينة؛ المبالغ تعرض بمنزلتين ولا تمثل فاتورة إلكترونية.</t>
  </si>
  <si>
    <t xml:space="preserve">حساسية السعر</t>
  </si>
  <si>
    <t xml:space="preserve">السيناريو</t>
  </si>
  <si>
    <t xml:space="preserve">معامل الخامات</t>
  </si>
  <si>
    <t xml:space="preserve">معامل ساعات العمل</t>
  </si>
  <si>
    <t xml:space="preserve">الخصم</t>
  </si>
  <si>
    <t xml:space="preserve">تكلفة معدلة</t>
  </si>
  <si>
    <t xml:space="preserve">سعر قائمة ثابت</t>
  </si>
  <si>
    <t xml:space="preserve">صافي بيع</t>
  </si>
  <si>
    <t xml:space="preserve">ربح بعد العمولة</t>
  </si>
  <si>
    <t xml:space="preserve">هامش فعلي</t>
  </si>
  <si>
    <t xml:space="preserve">أساسي</t>
  </si>
  <si>
    <t xml:space="preserve">زيادة خامات 10%</t>
  </si>
  <si>
    <t xml:space="preserve">زيادة ساعات 20%</t>
  </si>
  <si>
    <t xml:space="preserve">خصم 10%</t>
  </si>
  <si>
    <t xml:space="preserve">زيادة خامات وساعات وخصم</t>
  </si>
  <si>
    <t xml:space="preserve">مقارنة تكلفة</t>
  </si>
  <si>
    <t xml:space="preserve">العنصر</t>
  </si>
  <si>
    <t xml:space="preserve">تقديري</t>
  </si>
  <si>
    <t xml:space="preserve">فعلي — أدخل عند اكتمال البيانات</t>
  </si>
  <si>
    <t xml:space="preserve">انحراف فعلي ناقص تقديري</t>
  </si>
  <si>
    <t xml:space="preserve">انحراف %</t>
  </si>
  <si>
    <t xml:space="preserve">سبب وإجراء</t>
  </si>
  <si>
    <t xml:space="preserve">الإجمالي — يلزم تعبئة جميع الفعلي، وصفر عند عدم وجود تكلفة</t>
  </si>
  <si>
    <t xml:space="preserve">سجل المستندات</t>
  </si>
  <si>
    <t xml:space="preserve">النوع</t>
  </si>
  <si>
    <t xml:space="preserve">الرقم</t>
  </si>
  <si>
    <t xml:space="preserve">التاريخ</t>
  </si>
  <si>
    <t xml:space="preserve">طلب العميل</t>
  </si>
  <si>
    <t xml:space="preserve">أمر الإنتاج</t>
  </si>
  <si>
    <t xml:space="preserve">المسؤول</t>
  </si>
  <si>
    <t xml:space="preserve">الحالة</t>
  </si>
  <si>
    <t xml:space="preserve">مرجع المرفق</t>
  </si>
  <si>
    <t xml:space="preserve">أوامر الإنتاج</t>
  </si>
  <si>
    <t xml:space="preserve">رقم الأمر</t>
  </si>
  <si>
    <t xml:space="preserve">المنتج</t>
  </si>
  <si>
    <t xml:space="preserve">إصدار الرسم وBOM</t>
  </si>
  <si>
    <t xml:space="preserve">كمية</t>
  </si>
  <si>
    <t xml:space="preserve">بدء</t>
  </si>
  <si>
    <t xml:space="preserve">تسليم مخطط</t>
  </si>
  <si>
    <t xml:space="preserve">مرحلة</t>
  </si>
  <si>
    <t xml:space="preserve">مكتمل</t>
  </si>
  <si>
    <t xml:space="preserve">تحت تشغيل</t>
  </si>
  <si>
    <t xml:space="preserve">المشتريات</t>
  </si>
  <si>
    <t xml:space="preserve">طلب شراء</t>
  </si>
  <si>
    <t xml:space="preserve">أمر شراء</t>
  </si>
  <si>
    <t xml:space="preserve">المورد</t>
  </si>
  <si>
    <t xml:space="preserve">طلب/أمر إنتاج</t>
  </si>
  <si>
    <t xml:space="preserve">الوصف</t>
  </si>
  <si>
    <t xml:space="preserve">قيمة قبل الضريبة</t>
  </si>
  <si>
    <t xml:space="preserve">موعد</t>
  </si>
  <si>
    <t xml:space="preserve">مستلم</t>
  </si>
  <si>
    <t xml:space="preserve">فاتورة</t>
  </si>
  <si>
    <t xml:space="preserve">حالة</t>
  </si>
  <si>
    <t xml:space="preserve">دفعات العملاء</t>
  </si>
  <si>
    <t xml:space="preserve">العميل</t>
  </si>
  <si>
    <t xml:space="preserve">مرحلة الدفع</t>
  </si>
  <si>
    <t xml:space="preserve">استحقاق</t>
  </si>
  <si>
    <t xml:space="preserve">مطلوب شامل الضريبة</t>
  </si>
  <si>
    <t xml:space="preserve">محصل</t>
  </si>
  <si>
    <t xml:space="preserve">متبقي</t>
  </si>
  <si>
    <t xml:space="preserve">تاريخ التحصيل</t>
  </si>
  <si>
    <t xml:space="preserve">مرجع بنكي</t>
  </si>
  <si>
    <t xml:space="preserve">فاتورة/تسوية</t>
  </si>
  <si>
    <t xml:space="preserve">حركة المخزون</t>
  </si>
  <si>
    <t xml:space="preserve">المستند</t>
  </si>
  <si>
    <t xml:space="preserve">المخزن</t>
  </si>
  <si>
    <t xml:space="preserve">وارد</t>
  </si>
  <si>
    <t xml:space="preserve">صادر</t>
  </si>
  <si>
    <t xml:space="preserve">تشغيلة/مقاس</t>
  </si>
  <si>
    <t xml:space="preserve">الجرد</t>
  </si>
  <si>
    <t xml:space="preserve">رصيد دفتري</t>
  </si>
  <si>
    <t xml:space="preserve">فعلي</t>
  </si>
  <si>
    <t xml:space="preserve">فرق</t>
  </si>
  <si>
    <t xml:space="preserve">تكلفة وحدة</t>
  </si>
  <si>
    <t xml:space="preserve">قيمة الفرق</t>
  </si>
  <si>
    <t xml:space="preserve">سبب</t>
  </si>
  <si>
    <t xml:space="preserve">اعتماد</t>
  </si>
  <si>
    <t xml:space="preserve">الأصول</t>
  </si>
  <si>
    <t xml:space="preserve">رمز</t>
  </si>
  <si>
    <t xml:space="preserve">الموقع/العهدة</t>
  </si>
  <si>
    <t xml:space="preserve">جاهز للاستخدام</t>
  </si>
  <si>
    <t xml:space="preserve">قيمة متبقية</t>
  </si>
  <si>
    <t xml:space="preserve">عمر بالسنوات</t>
  </si>
  <si>
    <t xml:space="preserve">إهلاك سنوي خط مستقيم</t>
  </si>
  <si>
    <t xml:space="preserve">سنوي توضيحي؛ يحتسب الشهري بحسب تاريخ الجاهزية والسياسة.</t>
  </si>
  <si>
    <t xml:space="preserve">الإقفال الشهري</t>
  </si>
  <si>
    <t xml:space="preserve">الفترة</t>
  </si>
  <si>
    <t xml:space="preserve">الإجراء</t>
  </si>
  <si>
    <t xml:space="preserve">الموعد</t>
  </si>
  <si>
    <t xml:space="preserve">الدليل</t>
  </si>
  <si>
    <t xml:space="preserve">مراجع</t>
  </si>
  <si>
    <t xml:space="preserve">ملاحظات</t>
  </si>
  <si>
    <t xml:space="preserve">قطع الاستلام والصرف والتسليم</t>
  </si>
  <si>
    <t xml:space="preserve">مطابقة البنك والصندوق</t>
  </si>
  <si>
    <t xml:space="preserve">مطابقة العملاء والدفعات</t>
  </si>
  <si>
    <t xml:space="preserve">مطابقة الموردين والاستلامات</t>
  </si>
  <si>
    <t xml:space="preserve">جرد وتقييم تحت التشغيل والتام</t>
  </si>
  <si>
    <t xml:space="preserve">إثبات أجور وإهلاك واستحقاقات</t>
  </si>
  <si>
    <t xml:space="preserve">تحميل وفروق وهالك</t>
  </si>
  <si>
    <t xml:space="preserve">مراجعة الإيراد والضريبة والضمان</t>
  </si>
  <si>
    <t xml:space="preserve">مطابقة التقارير واعتماد الإقفال</t>
  </si>
  <si>
    <t xml:space="preserve">البيان</t>
  </si>
  <si>
    <t xml:space="preserve">القيمة</t>
  </si>
  <si>
    <t xml:space="preserve">اسم المنشأة</t>
  </si>
  <si>
    <t xml:space="preserve">الموقع</t>
  </si>
  <si>
    <t xml:space="preserve">فئة مكتبي/منزلي</t>
  </si>
  <si>
    <t xml:space="preserve">الوصف والكميات</t>
  </si>
  <si>
    <t xml:space="preserve">الرسم والإصدار</t>
  </si>
  <si>
    <t xml:space="preserve">الخامات والألوان والعينات</t>
  </si>
  <si>
    <t xml:space="preserve">قيمة دون ضريبة</t>
  </si>
  <si>
    <t xml:space="preserve">الإجمالي</t>
  </si>
  <si>
    <t xml:space="preserve">شروط الدفعات</t>
  </si>
  <si>
    <t xml:space="preserve">موعد التسليم</t>
  </si>
  <si>
    <t xml:space="preserve">نطاق النقل والتركيب</t>
  </si>
  <si>
    <t xml:space="preserve">الضمان والاستثناءات</t>
  </si>
  <si>
    <t xml:space="preserve">اعتماد العميل</t>
  </si>
  <si>
    <t xml:space="preserve">اعتماد السعر الداخلي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</si>
</sst>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(#,##0.00\)"/>
    <numFmt numFmtId="166" formatCode="0.00%"/>
    <numFmt numFmtId="167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5558A"/>
      <name val="Arial"/>
      <family val="0"/>
      <charset val="1"/>
    </font>
    <font>
      <sz val="11"/>
      <color theme="1"/>
      <name val="Noto Sans"/>
      <family val="2"/>
    </font>
    <font>
      <b val="true"/>
      <sz val="11"/>
      <color rgb="FFFFFFFF"/>
      <name val="Arial"/>
      <family val="0"/>
      <charset val="1"/>
    </font>
    <font>
      <sz val="11"/>
      <color rgb="FF18354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9EDF1"/>
      </patternFill>
    </fill>
    <fill>
      <patternFill patternType="solid">
        <fgColor rgb="FF18354C"/>
        <bgColor rgb="FF333333"/>
      </patternFill>
    </fill>
    <fill>
      <patternFill patternType="solid">
        <fgColor rgb="FFE9EDF1"/>
        <bgColor rgb="FFDCEB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8354C"/>
          <bgColor rgb="FF000000"/>
        </patternFill>
      </fill>
    </dxf>
    <dxf>
      <fill>
        <patternFill patternType="solid">
          <fgColor rgb="FFDCEBFA"/>
          <bgColor rgb="FF000000"/>
        </patternFill>
      </fill>
    </dxf>
    <dxf>
      <fill>
        <patternFill patternType="solid">
          <fgColor rgb="FF1555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9ED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FA"/>
      <rgbColor rgb="FF660066"/>
      <rgbColor rgb="FFFF8080"/>
      <rgbColor rgb="FF15558A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D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5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10"/>
  </cols>
  <sheetData>
    <row r="1" customFormat="false" ht="33.75" hidden="false" customHeight="true" outlineLevel="0" collapsed="false">
      <c r="A1" s="1" t="s">
        <v>0</v>
      </c>
      <c r="B1" s="1"/>
    </row>
    <row r="2" customFormat="false" ht="33.75" hidden="false" customHeight="true" outlineLevel="0" collapsed="false">
      <c r="A2" s="1" t="s">
        <v>1</v>
      </c>
      <c r="B2" s="1" t="s">
        <v>2</v>
      </c>
    </row>
    <row r="3" customFormat="false" ht="33.75" hidden="false" customHeight="true" outlineLevel="0" collapsed="false">
      <c r="A3" s="1" t="s">
        <v>3</v>
      </c>
      <c r="B3" s="1" t="s">
        <v>4</v>
      </c>
    </row>
    <row r="4" customFormat="false" ht="33.75" hidden="false" customHeight="true" outlineLevel="0" collapsed="false">
      <c r="A4" s="1" t="s">
        <v>5</v>
      </c>
      <c r="B4" s="1" t="s">
        <v>6</v>
      </c>
    </row>
    <row r="5" customFormat="false" ht="33.75" hidden="false" customHeight="true" outlineLevel="0" collapsed="false">
      <c r="A5" s="1" t="s">
        <v>7</v>
      </c>
      <c r="B5" s="1" t="s">
        <v>8</v>
      </c>
    </row>
    <row r="6" customFormat="false" ht="33.75" hidden="false" customHeight="true" outlineLevel="0" collapsed="false">
      <c r="A6" s="1" t="s">
        <v>9</v>
      </c>
      <c r="B6" s="1" t="s">
        <v>10</v>
      </c>
    </row>
    <row r="7" customFormat="false" ht="33.75" hidden="false" customHeight="true" outlineLevel="0" collapsed="false">
      <c r="A7" s="1" t="s">
        <v>11</v>
      </c>
      <c r="B7" s="1" t="s">
        <v>12</v>
      </c>
    </row>
    <row r="8" customFormat="false" ht="33.75" hidden="false" customHeight="true" outlineLevel="0" collapsed="false">
      <c r="A8" s="1" t="s">
        <v>13</v>
      </c>
      <c r="B8" s="1" t="s">
        <v>14</v>
      </c>
    </row>
    <row r="9" customFormat="false" ht="33.75" hidden="false" customHeight="true" outlineLevel="0" collapsed="false">
      <c r="A9" s="1" t="s">
        <v>15</v>
      </c>
      <c r="B9" s="1" t="s">
        <v>16</v>
      </c>
    </row>
    <row r="10" customFormat="false" ht="33.75" hidden="false" customHeight="true" outlineLevel="0" collapsed="false">
      <c r="A10" s="1" t="s">
        <v>17</v>
      </c>
      <c r="B10" s="1" t="s">
        <v>18</v>
      </c>
    </row>
    <row r="11" customFormat="false" ht="33.75" hidden="false" customHeight="true" outlineLevel="0" collapsed="false">
      <c r="A11" s="1" t="s">
        <v>19</v>
      </c>
      <c r="B11" s="1" t="s">
        <v>20</v>
      </c>
    </row>
    <row r="12" customFormat="false" ht="33.75" hidden="false" customHeight="true" outlineLevel="0" collapsed="false">
      <c r="A12" s="1" t="s">
        <v>21</v>
      </c>
      <c r="B12" s="1" t="s">
        <v>22</v>
      </c>
    </row>
    <row r="13" customFormat="false" ht="33.75" hidden="false" customHeight="true" outlineLevel="0" collapsed="false">
      <c r="A13" s="1" t="s">
        <v>23</v>
      </c>
      <c r="B13" s="1" t="s">
        <v>24</v>
      </c>
    </row>
    <row r="14" customFormat="false" ht="33.75" hidden="false" customHeight="true" outlineLevel="0" collapsed="false">
      <c r="A14" s="1" t="s">
        <v>25</v>
      </c>
      <c r="B14" s="1" t="s">
        <v>26</v>
      </c>
    </row>
    <row r="15" customFormat="false" ht="33.75" hidden="false" customHeight="true" outlineLevel="0" collapsed="false">
      <c r="A15" s="1" t="s">
        <v>27</v>
      </c>
      <c r="B15" s="1" t="s">
        <v>28</v>
      </c>
    </row>
    <row r="16" customFormat="false" ht="33.75" hidden="false" customHeight="true" outlineLevel="0" collapsed="false">
      <c r="A16" s="1" t="s">
        <v>29</v>
      </c>
      <c r="B16" s="1" t="s">
        <v>30</v>
      </c>
    </row>
    <row r="17" customFormat="false" ht="33.75" hidden="false" customHeight="true" outlineLevel="0" collapsed="false">
      <c r="A17" s="1" t="s">
        <v>31</v>
      </c>
      <c r="B17" s="1" t="s">
        <v>32</v>
      </c>
    </row>
    <row r="18" customFormat="false" ht="33.75" hidden="false" customHeight="true" outlineLevel="0" collapsed="false">
      <c r="A18" s="1" t="s">
        <v>33</v>
      </c>
      <c r="B18" s="1" t="s">
        <v>34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24"/>
  </cols>
  <sheetData>
    <row r="1" customFormat="false" ht="33.7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</row>
    <row r="3" customFormat="false" ht="33.75" hidden="false" customHeight="true" outlineLevel="0" collapsed="false">
      <c r="A3" s="1" t="s">
        <v>44</v>
      </c>
      <c r="B3" s="1" t="s">
        <v>45</v>
      </c>
      <c r="C3" s="4" t="n">
        <v>1</v>
      </c>
      <c r="D3" s="5" t="n">
        <v>0</v>
      </c>
      <c r="E3" s="6" t="n">
        <f aca="false">IF(AND(ISNUMBER(C3),ISNUMBER(D3),C3&gt;=0,D3&gt;=0,D3&lt;1),C3/(1-D3),NA())</f>
        <v>1</v>
      </c>
      <c r="F3" s="4" t="n">
        <v>8000</v>
      </c>
      <c r="G3" s="6" t="n">
        <f aca="false">E3*F3</f>
        <v>8000</v>
      </c>
      <c r="H3" s="1" t="s">
        <v>46</v>
      </c>
    </row>
    <row r="4" customFormat="false" ht="33.75" hidden="false" customHeight="true" outlineLevel="0" collapsed="false">
      <c r="A4" s="1"/>
      <c r="B4" s="1"/>
      <c r="C4" s="4"/>
      <c r="D4" s="5" t="n">
        <v>0</v>
      </c>
      <c r="E4" s="6" t="str">
        <f aca="false">IF(C4="","",IF(AND(ISNUMBER(C4),ISNUMBER(D4),C4&gt;=0,D4&gt;=0,D4&lt;1),C4/(1-D4),NA()))</f>
        <v/>
      </c>
      <c r="F4" s="4"/>
      <c r="G4" s="6" t="str">
        <f aca="false">IF(E4="","",E4*F4)</f>
        <v/>
      </c>
      <c r="H4" s="1"/>
    </row>
    <row r="5" customFormat="false" ht="33.75" hidden="false" customHeight="true" outlineLevel="0" collapsed="false">
      <c r="A5" s="1"/>
      <c r="B5" s="1"/>
      <c r="C5" s="4"/>
      <c r="D5" s="5" t="n">
        <v>0</v>
      </c>
      <c r="E5" s="6" t="str">
        <f aca="false">IF(C5="","",IF(AND(ISNUMBER(C5),ISNUMBER(D5),C5&gt;=0,D5&gt;=0,D5&lt;1),C5/(1-D5),NA()))</f>
        <v/>
      </c>
      <c r="F5" s="4"/>
      <c r="G5" s="6" t="str">
        <f aca="false">IF(E5="","",E5*F5)</f>
        <v/>
      </c>
      <c r="H5" s="1"/>
    </row>
    <row r="6" customFormat="false" ht="33.75" hidden="false" customHeight="true" outlineLevel="0" collapsed="false">
      <c r="A6" s="1"/>
      <c r="B6" s="1"/>
      <c r="C6" s="4"/>
      <c r="D6" s="5" t="n">
        <v>0</v>
      </c>
      <c r="E6" s="6" t="str">
        <f aca="false">IF(C6="","",IF(AND(ISNUMBER(C6),ISNUMBER(D6),C6&gt;=0,D6&gt;=0,D6&lt;1),C6/(1-D6),NA()))</f>
        <v/>
      </c>
      <c r="F6" s="4"/>
      <c r="G6" s="6" t="str">
        <f aca="false">IF(E6="","",E6*F6)</f>
        <v/>
      </c>
      <c r="H6" s="1"/>
    </row>
    <row r="7" customFormat="false" ht="33.75" hidden="false" customHeight="true" outlineLevel="0" collapsed="false">
      <c r="A7" s="1"/>
      <c r="B7" s="1"/>
      <c r="C7" s="4"/>
      <c r="D7" s="5" t="n">
        <v>0</v>
      </c>
      <c r="E7" s="6" t="str">
        <f aca="false">IF(C7="","",IF(AND(ISNUMBER(C7),ISNUMBER(D7),C7&gt;=0,D7&gt;=0,D7&lt;1),C7/(1-D7),NA()))</f>
        <v/>
      </c>
      <c r="F7" s="4"/>
      <c r="G7" s="6" t="str">
        <f aca="false">IF(E7="","",E7*F7)</f>
        <v/>
      </c>
      <c r="H7" s="1"/>
    </row>
    <row r="8" customFormat="false" ht="33.75" hidden="false" customHeight="true" outlineLevel="0" collapsed="false">
      <c r="A8" s="1"/>
      <c r="B8" s="1"/>
      <c r="C8" s="4"/>
      <c r="D8" s="5" t="n">
        <v>0</v>
      </c>
      <c r="E8" s="6" t="str">
        <f aca="false">IF(C8="","",IF(AND(ISNUMBER(C8),ISNUMBER(D8),C8&gt;=0,D8&gt;=0,D8&lt;1),C8/(1-D8),NA()))</f>
        <v/>
      </c>
      <c r="F8" s="4"/>
      <c r="G8" s="6" t="str">
        <f aca="false">IF(E8="","",E8*F8)</f>
        <v/>
      </c>
      <c r="H8" s="1"/>
    </row>
    <row r="9" customFormat="false" ht="33.75" hidden="false" customHeight="true" outlineLevel="0" collapsed="false">
      <c r="A9" s="1"/>
      <c r="B9" s="1"/>
      <c r="C9" s="4"/>
      <c r="D9" s="5" t="n">
        <v>0</v>
      </c>
      <c r="E9" s="6" t="str">
        <f aca="false">IF(C9="","",IF(AND(ISNUMBER(C9),ISNUMBER(D9),C9&gt;=0,D9&gt;=0,D9&lt;1),C9/(1-D9),NA()))</f>
        <v/>
      </c>
      <c r="F9" s="4"/>
      <c r="G9" s="6" t="str">
        <f aca="false">IF(E9="","",E9*F9)</f>
        <v/>
      </c>
      <c r="H9" s="1"/>
    </row>
    <row r="10" customFormat="false" ht="33.75" hidden="false" customHeight="true" outlineLevel="0" collapsed="false">
      <c r="A10" s="1"/>
      <c r="B10" s="1"/>
      <c r="C10" s="4"/>
      <c r="D10" s="5" t="n">
        <v>0</v>
      </c>
      <c r="E10" s="6" t="str">
        <f aca="false">IF(C10="","",IF(AND(ISNUMBER(C10),ISNUMBER(D10),C10&gt;=0,D10&gt;=0,D10&lt;1),C10/(1-D10),NA()))</f>
        <v/>
      </c>
      <c r="F10" s="4"/>
      <c r="G10" s="6" t="str">
        <f aca="false">IF(E10="","",E10*F10)</f>
        <v/>
      </c>
      <c r="H10" s="1"/>
    </row>
    <row r="11" customFormat="false" ht="33.75" hidden="false" customHeight="true" outlineLevel="0" collapsed="false">
      <c r="A11" s="1"/>
      <c r="B11" s="1"/>
      <c r="C11" s="4"/>
      <c r="D11" s="5" t="n">
        <v>0</v>
      </c>
      <c r="E11" s="6" t="str">
        <f aca="false">IF(C11="","",IF(AND(ISNUMBER(C11),ISNUMBER(D11),C11&gt;=0,D11&gt;=0,D11&lt;1),C11/(1-D11),NA()))</f>
        <v/>
      </c>
      <c r="F11" s="4"/>
      <c r="G11" s="6" t="str">
        <f aca="false">IF(E11="","",E11*F11)</f>
        <v/>
      </c>
      <c r="H11" s="1"/>
    </row>
    <row r="12" customFormat="false" ht="33.75" hidden="false" customHeight="true" outlineLevel="0" collapsed="false">
      <c r="A12" s="1"/>
      <c r="B12" s="1"/>
      <c r="C12" s="4"/>
      <c r="D12" s="5" t="n">
        <v>0</v>
      </c>
      <c r="E12" s="6" t="str">
        <f aca="false">IF(C12="","",IF(AND(ISNUMBER(C12),ISNUMBER(D12),C12&gt;=0,D12&gt;=0,D12&lt;1),C12/(1-D12),NA()))</f>
        <v/>
      </c>
      <c r="F12" s="4"/>
      <c r="G12" s="6" t="str">
        <f aca="false">IF(E12="","",E12*F12)</f>
        <v/>
      </c>
      <c r="H12" s="1"/>
    </row>
    <row r="13" customFormat="false" ht="33.75" hidden="false" customHeight="true" outlineLevel="0" collapsed="false">
      <c r="A13" s="1"/>
      <c r="B13" s="1"/>
      <c r="C13" s="4"/>
      <c r="D13" s="5" t="n">
        <v>0</v>
      </c>
      <c r="E13" s="6" t="str">
        <f aca="false">IF(C13="","",IF(AND(ISNUMBER(C13),ISNUMBER(D13),C13&gt;=0,D13&gt;=0,D13&lt;1),C13/(1-D13),NA()))</f>
        <v/>
      </c>
      <c r="F13" s="4"/>
      <c r="G13" s="6" t="str">
        <f aca="false">IF(E13="","",E13*F13)</f>
        <v/>
      </c>
      <c r="H13" s="1"/>
    </row>
    <row r="14" customFormat="false" ht="33.75" hidden="false" customHeight="true" outlineLevel="0" collapsed="false">
      <c r="A14" s="1"/>
      <c r="B14" s="1"/>
      <c r="C14" s="4"/>
      <c r="D14" s="5" t="n">
        <v>0</v>
      </c>
      <c r="E14" s="6" t="str">
        <f aca="false">IF(C14="","",IF(AND(ISNUMBER(C14),ISNUMBER(D14),C14&gt;=0,D14&gt;=0,D14&lt;1),C14/(1-D14),NA()))</f>
        <v/>
      </c>
      <c r="F14" s="4"/>
      <c r="G14" s="6" t="str">
        <f aca="false">IF(E14="","",E14*F14)</f>
        <v/>
      </c>
      <c r="H14" s="1"/>
    </row>
    <row r="15" customFormat="false" ht="33.75" hidden="false" customHeight="true" outlineLevel="0" collapsed="false">
      <c r="A15" s="1"/>
      <c r="B15" s="1"/>
      <c r="C15" s="4"/>
      <c r="D15" s="5" t="n">
        <v>0</v>
      </c>
      <c r="E15" s="6" t="str">
        <f aca="false">IF(C15="","",IF(AND(ISNUMBER(C15),ISNUMBER(D15),C15&gt;=0,D15&gt;=0,D15&lt;1),C15/(1-D15),NA()))</f>
        <v/>
      </c>
      <c r="F15" s="4"/>
      <c r="G15" s="6" t="str">
        <f aca="false">IF(E15="","",E15*F15)</f>
        <v/>
      </c>
      <c r="H15" s="1"/>
    </row>
    <row r="16" customFormat="false" ht="33.75" hidden="false" customHeight="true" outlineLevel="0" collapsed="false">
      <c r="A16" s="1"/>
      <c r="B16" s="1"/>
      <c r="C16" s="4"/>
      <c r="D16" s="5" t="n">
        <v>0</v>
      </c>
      <c r="E16" s="6" t="str">
        <f aca="false">IF(C16="","",IF(AND(ISNUMBER(C16),ISNUMBER(D16),C16&gt;=0,D16&gt;=0,D16&lt;1),C16/(1-D16),NA()))</f>
        <v/>
      </c>
      <c r="F16" s="4"/>
      <c r="G16" s="6" t="str">
        <f aca="false">IF(E16="","",E16*F16)</f>
        <v/>
      </c>
      <c r="H16" s="1"/>
    </row>
    <row r="17" customFormat="false" ht="33.75" hidden="false" customHeight="true" outlineLevel="0" collapsed="false">
      <c r="A17" s="1"/>
      <c r="B17" s="1"/>
      <c r="C17" s="4"/>
      <c r="D17" s="5" t="n">
        <v>0</v>
      </c>
      <c r="E17" s="6" t="str">
        <f aca="false">IF(C17="","",IF(AND(ISNUMBER(C17),ISNUMBER(D17),C17&gt;=0,D17&gt;=0,D17&lt;1),C17/(1-D17),NA()))</f>
        <v/>
      </c>
      <c r="F17" s="4"/>
      <c r="G17" s="6" t="str">
        <f aca="false">IF(E17="","",E17*F17)</f>
        <v/>
      </c>
      <c r="H17" s="1"/>
    </row>
    <row r="18" customFormat="false" ht="33.75" hidden="false" customHeight="true" outlineLevel="0" collapsed="false">
      <c r="A18" s="1"/>
      <c r="B18" s="1"/>
      <c r="C18" s="4"/>
      <c r="D18" s="5" t="n">
        <v>0</v>
      </c>
      <c r="E18" s="6" t="str">
        <f aca="false">IF(C18="","",IF(AND(ISNUMBER(C18),ISNUMBER(D18),C18&gt;=0,D18&gt;=0,D18&lt;1),C18/(1-D18),NA()))</f>
        <v/>
      </c>
      <c r="F18" s="4"/>
      <c r="G18" s="6" t="str">
        <f aca="false">IF(E18="","",E18*F18)</f>
        <v/>
      </c>
      <c r="H18" s="1"/>
    </row>
    <row r="19" customFormat="false" ht="33.75" hidden="false" customHeight="true" outlineLevel="0" collapsed="false">
      <c r="A19" s="1"/>
      <c r="B19" s="1"/>
      <c r="C19" s="4"/>
      <c r="D19" s="5" t="n">
        <v>0</v>
      </c>
      <c r="E19" s="6" t="str">
        <f aca="false">IF(C19="","",IF(AND(ISNUMBER(C19),ISNUMBER(D19),C19&gt;=0,D19&gt;=0,D19&lt;1),C19/(1-D19),NA()))</f>
        <v/>
      </c>
      <c r="F19" s="4"/>
      <c r="G19" s="6" t="str">
        <f aca="false">IF(E19="","",E19*F19)</f>
        <v/>
      </c>
      <c r="H19" s="1"/>
    </row>
    <row r="20" customFormat="false" ht="33.75" hidden="false" customHeight="true" outlineLevel="0" collapsed="false">
      <c r="A20" s="1"/>
      <c r="B20" s="1"/>
      <c r="C20" s="4"/>
      <c r="D20" s="5" t="n">
        <v>0</v>
      </c>
      <c r="E20" s="6" t="str">
        <f aca="false">IF(C20="","",IF(AND(ISNUMBER(C20),ISNUMBER(D20),C20&gt;=0,D20&gt;=0,D20&lt;1),C20/(1-D20),NA()))</f>
        <v/>
      </c>
      <c r="F20" s="4"/>
      <c r="G20" s="6" t="str">
        <f aca="false">IF(E20="","",E20*F20)</f>
        <v/>
      </c>
      <c r="H20" s="1"/>
    </row>
    <row r="21" customFormat="false" ht="33.75" hidden="false" customHeight="true" outlineLevel="0" collapsed="false">
      <c r="A21" s="1"/>
      <c r="B21" s="1"/>
      <c r="C21" s="4"/>
      <c r="D21" s="5" t="n">
        <v>0</v>
      </c>
      <c r="E21" s="6" t="str">
        <f aca="false">IF(C21="","",IF(AND(ISNUMBER(C21),ISNUMBER(D21),C21&gt;=0,D21&gt;=0,D21&lt;1),C21/(1-D21),NA()))</f>
        <v/>
      </c>
      <c r="F21" s="4"/>
      <c r="G21" s="6" t="str">
        <f aca="false">IF(E21="","",E21*F21)</f>
        <v/>
      </c>
      <c r="H21" s="1"/>
    </row>
    <row r="22" customFormat="false" ht="33.75" hidden="false" customHeight="true" outlineLevel="0" collapsed="false">
      <c r="A22" s="1"/>
      <c r="B22" s="1"/>
      <c r="C22" s="4"/>
      <c r="D22" s="5" t="n">
        <v>0</v>
      </c>
      <c r="E22" s="6" t="str">
        <f aca="false">IF(C22="","",IF(AND(ISNUMBER(C22),ISNUMBER(D22),C22&gt;=0,D22&gt;=0,D22&lt;1),C22/(1-D22),NA()))</f>
        <v/>
      </c>
      <c r="F22" s="4"/>
      <c r="G22" s="6" t="str">
        <f aca="false">IF(E22="","",E22*F22)</f>
        <v/>
      </c>
      <c r="H22" s="1"/>
    </row>
    <row r="23" customFormat="false" ht="33.75" hidden="false" customHeight="true" outlineLevel="0" collapsed="false">
      <c r="A23" s="1"/>
      <c r="B23" s="1"/>
      <c r="C23" s="4"/>
      <c r="D23" s="5" t="n">
        <v>0</v>
      </c>
      <c r="E23" s="6" t="str">
        <f aca="false">IF(C23="","",IF(AND(ISNUMBER(C23),ISNUMBER(D23),C23&gt;=0,D23&gt;=0,D23&lt;1),C23/(1-D23),NA()))</f>
        <v/>
      </c>
      <c r="F23" s="4"/>
      <c r="G23" s="6" t="str">
        <f aca="false">IF(E23="","",E23*F23)</f>
        <v/>
      </c>
      <c r="H23" s="1"/>
    </row>
    <row r="24" customFormat="false" ht="33.75" hidden="false" customHeight="true" outlineLevel="0" collapsed="false">
      <c r="A24" s="1"/>
      <c r="B24" s="1"/>
      <c r="C24" s="4"/>
      <c r="D24" s="5" t="n">
        <v>0</v>
      </c>
      <c r="E24" s="6" t="str">
        <f aca="false">IF(C24="","",IF(AND(ISNUMBER(C24),ISNUMBER(D24),C24&gt;=0,D24&gt;=0,D24&lt;1),C24/(1-D24),NA()))</f>
        <v/>
      </c>
      <c r="F24" s="4"/>
      <c r="G24" s="6" t="str">
        <f aca="false">IF(E24="","",E24*F24)</f>
        <v/>
      </c>
      <c r="H24" s="1"/>
    </row>
    <row r="25" customFormat="false" ht="33.75" hidden="false" customHeight="true" outlineLevel="0" collapsed="false">
      <c r="A25" s="1"/>
      <c r="B25" s="1"/>
      <c r="C25" s="4"/>
      <c r="D25" s="5" t="n">
        <v>0</v>
      </c>
      <c r="E25" s="6" t="str">
        <f aca="false">IF(C25="","",IF(AND(ISNUMBER(C25),ISNUMBER(D25),C25&gt;=0,D25&gt;=0,D25&lt;1),C25/(1-D25),NA()))</f>
        <v/>
      </c>
      <c r="F25" s="4"/>
      <c r="G25" s="6" t="str">
        <f aca="false">IF(E25="","",E25*F25)</f>
        <v/>
      </c>
      <c r="H25" s="1"/>
    </row>
    <row r="26" customFormat="false" ht="33.75" hidden="false" customHeight="true" outlineLevel="0" collapsed="false">
      <c r="A26" s="1"/>
      <c r="B26" s="1"/>
      <c r="C26" s="4"/>
      <c r="D26" s="5" t="n">
        <v>0</v>
      </c>
      <c r="E26" s="6" t="str">
        <f aca="false">IF(C26="","",IF(AND(ISNUMBER(C26),ISNUMBER(D26),C26&gt;=0,D26&gt;=0,D26&lt;1),C26/(1-D26),NA()))</f>
        <v/>
      </c>
      <c r="F26" s="4"/>
      <c r="G26" s="6" t="str">
        <f aca="false">IF(E26="","",E26*F26)</f>
        <v/>
      </c>
      <c r="H26" s="1"/>
    </row>
    <row r="27" customFormat="false" ht="33.75" hidden="false" customHeight="true" outlineLevel="0" collapsed="false">
      <c r="A27" s="1"/>
      <c r="B27" s="1"/>
      <c r="C27" s="4"/>
      <c r="D27" s="5" t="n">
        <v>0</v>
      </c>
      <c r="E27" s="6" t="str">
        <f aca="false">IF(C27="","",IF(AND(ISNUMBER(C27),ISNUMBER(D27),C27&gt;=0,D27&gt;=0,D27&lt;1),C27/(1-D27),NA()))</f>
        <v/>
      </c>
      <c r="F27" s="4"/>
      <c r="G27" s="6" t="str">
        <f aca="false">IF(E27="","",E27*F27)</f>
        <v/>
      </c>
      <c r="H27" s="1"/>
    </row>
    <row r="28" customFormat="false" ht="33.75" hidden="false" customHeight="true" outlineLevel="0" collapsed="false">
      <c r="A28" s="1"/>
      <c r="B28" s="1"/>
      <c r="C28" s="4"/>
      <c r="D28" s="5" t="n">
        <v>0</v>
      </c>
      <c r="E28" s="6" t="str">
        <f aca="false">IF(C28="","",IF(AND(ISNUMBER(C28),ISNUMBER(D28),C28&gt;=0,D28&gt;=0,D28&lt;1),C28/(1-D28),NA()))</f>
        <v/>
      </c>
      <c r="F28" s="4"/>
      <c r="G28" s="6" t="str">
        <f aca="false">IF(E28="","",E28*F28)</f>
        <v/>
      </c>
      <c r="H28" s="1"/>
    </row>
    <row r="29" customFormat="false" ht="33.75" hidden="false" customHeight="true" outlineLevel="0" collapsed="false">
      <c r="A29" s="1"/>
      <c r="B29" s="1"/>
      <c r="C29" s="4"/>
      <c r="D29" s="5" t="n">
        <v>0</v>
      </c>
      <c r="E29" s="6" t="str">
        <f aca="false">IF(C29="","",IF(AND(ISNUMBER(C29),ISNUMBER(D29),C29&gt;=0,D29&gt;=0,D29&lt;1),C29/(1-D29),NA()))</f>
        <v/>
      </c>
      <c r="F29" s="4"/>
      <c r="G29" s="6" t="str">
        <f aca="false">IF(E29="","",E29*F29)</f>
        <v/>
      </c>
      <c r="H29" s="1"/>
    </row>
    <row r="30" customFormat="false" ht="33.75" hidden="false" customHeight="true" outlineLevel="0" collapsed="false">
      <c r="A30" s="1"/>
      <c r="B30" s="1"/>
      <c r="C30" s="4"/>
      <c r="D30" s="5" t="n">
        <v>0</v>
      </c>
      <c r="E30" s="6" t="str">
        <f aca="false">IF(C30="","",IF(AND(ISNUMBER(C30),ISNUMBER(D30),C30&gt;=0,D30&gt;=0,D30&lt;1),C30/(1-D30),NA()))</f>
        <v/>
      </c>
      <c r="F30" s="4"/>
      <c r="G30" s="6" t="str">
        <f aca="false">IF(E30="","",E30*F30)</f>
        <v/>
      </c>
      <c r="H30" s="1"/>
    </row>
    <row r="31" customFormat="false" ht="33.75" hidden="false" customHeight="true" outlineLevel="0" collapsed="false">
      <c r="A31" s="1"/>
      <c r="B31" s="1"/>
      <c r="C31" s="4"/>
      <c r="D31" s="5" t="n">
        <v>0</v>
      </c>
      <c r="E31" s="6" t="str">
        <f aca="false">IF(C31="","",IF(AND(ISNUMBER(C31),ISNUMBER(D31),C31&gt;=0,D31&gt;=0,D31&lt;1),C31/(1-D31),NA()))</f>
        <v/>
      </c>
      <c r="F31" s="4"/>
      <c r="G31" s="6" t="str">
        <f aca="false">IF(E31="","",E31*F31)</f>
        <v/>
      </c>
      <c r="H31" s="1"/>
    </row>
    <row r="32" customFormat="false" ht="33.75" hidden="false" customHeight="true" outlineLevel="0" collapsed="false">
      <c r="A32" s="1"/>
      <c r="B32" s="1"/>
      <c r="C32" s="4"/>
      <c r="D32" s="5" t="n">
        <v>0</v>
      </c>
      <c r="E32" s="6" t="str">
        <f aca="false">IF(C32="","",IF(AND(ISNUMBER(C32),ISNUMBER(D32),C32&gt;=0,D32&gt;=0,D32&lt;1),C32/(1-D32),NA()))</f>
        <v/>
      </c>
      <c r="F32" s="4"/>
      <c r="G32" s="6" t="str">
        <f aca="false">IF(E32="","",E32*F32)</f>
        <v/>
      </c>
      <c r="H32" s="1"/>
    </row>
  </sheetData>
  <autoFilter ref="A2:H32"/>
  <dataValidations count="3"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D3:D32" type="decimal">
      <formula1>0</formula1>
      <formula2>0.999999</formula2>
    </dataValidation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C3:C32" type="decimal">
      <formula1>0</formula1>
      <formula2>1000000000</formula2>
    </dataValidation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F3:F32" type="decimal">
      <formula1>0</formula1>
      <formula2>1000000000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4"/>
  </cols>
  <sheetData>
    <row r="1" customFormat="false" ht="33.75" hidden="false" customHeight="true" outlineLevel="0" collapsed="false">
      <c r="A1" s="2" t="s">
        <v>47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48</v>
      </c>
      <c r="B2" s="3" t="s">
        <v>49</v>
      </c>
      <c r="C2" s="3" t="s">
        <v>50</v>
      </c>
      <c r="D2" s="3" t="s">
        <v>51</v>
      </c>
      <c r="E2" s="3" t="s">
        <v>42</v>
      </c>
      <c r="F2" s="3" t="s">
        <v>52</v>
      </c>
    </row>
    <row r="3" customFormat="false" ht="33.75" hidden="false" customHeight="true" outlineLevel="0" collapsed="false">
      <c r="A3" s="1" t="s">
        <v>53</v>
      </c>
      <c r="B3" s="1" t="s">
        <v>54</v>
      </c>
      <c r="C3" s="4" t="n">
        <v>100</v>
      </c>
      <c r="D3" s="4" t="n">
        <v>30</v>
      </c>
      <c r="E3" s="6" t="n">
        <f aca="false">C3*D3</f>
        <v>3000</v>
      </c>
      <c r="F3" s="1" t="s">
        <v>55</v>
      </c>
    </row>
    <row r="4" customFormat="false" ht="33.75" hidden="false" customHeight="true" outlineLevel="0" collapsed="false">
      <c r="A4" s="1"/>
      <c r="B4" s="1"/>
      <c r="C4" s="4"/>
      <c r="D4" s="4"/>
      <c r="E4" s="6" t="str">
        <f aca="false">IF(C4="","",C4*D4)</f>
        <v/>
      </c>
      <c r="F4" s="1"/>
    </row>
    <row r="5" customFormat="false" ht="33.75" hidden="false" customHeight="true" outlineLevel="0" collapsed="false">
      <c r="A5" s="1"/>
      <c r="B5" s="1"/>
      <c r="C5" s="4"/>
      <c r="D5" s="4"/>
      <c r="E5" s="6" t="str">
        <f aca="false">IF(C5="","",C5*D5)</f>
        <v/>
      </c>
      <c r="F5" s="1"/>
    </row>
    <row r="6" customFormat="false" ht="33.75" hidden="false" customHeight="true" outlineLevel="0" collapsed="false">
      <c r="A6" s="1"/>
      <c r="B6" s="1"/>
      <c r="C6" s="4"/>
      <c r="D6" s="4"/>
      <c r="E6" s="6" t="str">
        <f aca="false">IF(C6="","",C6*D6)</f>
        <v/>
      </c>
      <c r="F6" s="1"/>
    </row>
    <row r="7" customFormat="false" ht="33.75" hidden="false" customHeight="true" outlineLevel="0" collapsed="false">
      <c r="A7" s="1"/>
      <c r="B7" s="1"/>
      <c r="C7" s="4"/>
      <c r="D7" s="4"/>
      <c r="E7" s="6" t="str">
        <f aca="false">IF(C7="","",C7*D7)</f>
        <v/>
      </c>
      <c r="F7" s="1"/>
    </row>
    <row r="8" customFormat="false" ht="33.75" hidden="false" customHeight="true" outlineLevel="0" collapsed="false">
      <c r="A8" s="1"/>
      <c r="B8" s="1"/>
      <c r="C8" s="4"/>
      <c r="D8" s="4"/>
      <c r="E8" s="6" t="str">
        <f aca="false">IF(C8="","",C8*D8)</f>
        <v/>
      </c>
      <c r="F8" s="1"/>
    </row>
    <row r="9" customFormat="false" ht="33.75" hidden="false" customHeight="true" outlineLevel="0" collapsed="false">
      <c r="A9" s="1"/>
      <c r="B9" s="1"/>
      <c r="C9" s="4"/>
      <c r="D9" s="4"/>
      <c r="E9" s="6" t="str">
        <f aca="false">IF(C9="","",C9*D9)</f>
        <v/>
      </c>
      <c r="F9" s="1"/>
    </row>
    <row r="10" customFormat="false" ht="33.75" hidden="false" customHeight="true" outlineLevel="0" collapsed="false">
      <c r="A10" s="1"/>
      <c r="B10" s="1"/>
      <c r="C10" s="4"/>
      <c r="D10" s="4"/>
      <c r="E10" s="6" t="str">
        <f aca="false">IF(C10="","",C10*D10)</f>
        <v/>
      </c>
      <c r="F10" s="1"/>
    </row>
    <row r="11" customFormat="false" ht="33.75" hidden="false" customHeight="true" outlineLevel="0" collapsed="false">
      <c r="A11" s="1"/>
      <c r="B11" s="1"/>
      <c r="C11" s="4"/>
      <c r="D11" s="4"/>
      <c r="E11" s="6" t="str">
        <f aca="false">IF(C11="","",C11*D11)</f>
        <v/>
      </c>
      <c r="F11" s="1"/>
    </row>
    <row r="12" customFormat="false" ht="33.75" hidden="false" customHeight="true" outlineLevel="0" collapsed="false">
      <c r="A12" s="1"/>
      <c r="B12" s="1"/>
      <c r="C12" s="4"/>
      <c r="D12" s="4"/>
      <c r="E12" s="6" t="str">
        <f aca="false">IF(C12="","",C12*D12)</f>
        <v/>
      </c>
      <c r="F12" s="1"/>
    </row>
    <row r="13" customFormat="false" ht="33.75" hidden="false" customHeight="true" outlineLevel="0" collapsed="false">
      <c r="A13" s="1"/>
      <c r="B13" s="1"/>
      <c r="C13" s="4"/>
      <c r="D13" s="4"/>
      <c r="E13" s="6" t="str">
        <f aca="false">IF(C13="","",C13*D13)</f>
        <v/>
      </c>
      <c r="F13" s="1"/>
    </row>
    <row r="14" customFormat="false" ht="33.75" hidden="false" customHeight="true" outlineLevel="0" collapsed="false">
      <c r="A14" s="1"/>
      <c r="B14" s="1"/>
      <c r="C14" s="4"/>
      <c r="D14" s="4"/>
      <c r="E14" s="6" t="str">
        <f aca="false">IF(C14="","",C14*D14)</f>
        <v/>
      </c>
      <c r="F14" s="1"/>
    </row>
    <row r="15" customFormat="false" ht="33.75" hidden="false" customHeight="true" outlineLevel="0" collapsed="false">
      <c r="A15" s="1"/>
      <c r="B15" s="1"/>
      <c r="C15" s="4"/>
      <c r="D15" s="4"/>
      <c r="E15" s="6" t="str">
        <f aca="false">IF(C15="","",C15*D15)</f>
        <v/>
      </c>
      <c r="F15" s="1"/>
    </row>
    <row r="16" customFormat="false" ht="33.75" hidden="false" customHeight="true" outlineLevel="0" collapsed="false">
      <c r="A16" s="1"/>
      <c r="B16" s="1"/>
      <c r="C16" s="4"/>
      <c r="D16" s="4"/>
      <c r="E16" s="6" t="str">
        <f aca="false">IF(C16="","",C16*D16)</f>
        <v/>
      </c>
      <c r="F16" s="1"/>
    </row>
    <row r="17" customFormat="false" ht="33.75" hidden="false" customHeight="true" outlineLevel="0" collapsed="false">
      <c r="A17" s="1"/>
      <c r="B17" s="1"/>
      <c r="C17" s="4"/>
      <c r="D17" s="4"/>
      <c r="E17" s="6" t="str">
        <f aca="false">IF(C17="","",C17*D17)</f>
        <v/>
      </c>
      <c r="F17" s="1"/>
    </row>
    <row r="18" customFormat="false" ht="33.75" hidden="false" customHeight="true" outlineLevel="0" collapsed="false">
      <c r="A18" s="1"/>
      <c r="B18" s="1"/>
      <c r="C18" s="4"/>
      <c r="D18" s="4"/>
      <c r="E18" s="6" t="str">
        <f aca="false">IF(C18="","",C18*D18)</f>
        <v/>
      </c>
      <c r="F18" s="1"/>
    </row>
    <row r="19" customFormat="false" ht="33.75" hidden="false" customHeight="true" outlineLevel="0" collapsed="false">
      <c r="A19" s="1"/>
      <c r="B19" s="1"/>
      <c r="C19" s="4"/>
      <c r="D19" s="4"/>
      <c r="E19" s="6" t="str">
        <f aca="false">IF(C19="","",C19*D19)</f>
        <v/>
      </c>
      <c r="F19" s="1"/>
    </row>
    <row r="20" customFormat="false" ht="33.75" hidden="false" customHeight="true" outlineLevel="0" collapsed="false">
      <c r="A20" s="1"/>
      <c r="B20" s="1"/>
      <c r="C20" s="4"/>
      <c r="D20" s="4"/>
      <c r="E20" s="6" t="str">
        <f aca="false">IF(C20="","",C20*D20)</f>
        <v/>
      </c>
      <c r="F20" s="1"/>
    </row>
    <row r="21" customFormat="false" ht="33.75" hidden="false" customHeight="true" outlineLevel="0" collapsed="false">
      <c r="A21" s="1"/>
      <c r="B21" s="1"/>
      <c r="C21" s="4"/>
      <c r="D21" s="4"/>
      <c r="E21" s="6" t="str">
        <f aca="false">IF(C21="","",C21*D21)</f>
        <v/>
      </c>
      <c r="F21" s="1"/>
    </row>
    <row r="22" customFormat="false" ht="33.75" hidden="false" customHeight="true" outlineLevel="0" collapsed="false">
      <c r="A22" s="1"/>
      <c r="B22" s="1"/>
      <c r="C22" s="4"/>
      <c r="D22" s="4"/>
      <c r="E22" s="6" t="str">
        <f aca="false">IF(C22="","",C22*D22)</f>
        <v/>
      </c>
      <c r="F22" s="1"/>
    </row>
    <row r="23" customFormat="false" ht="33.75" hidden="false" customHeight="true" outlineLevel="0" collapsed="false">
      <c r="A23" s="1"/>
      <c r="B23" s="1"/>
      <c r="C23" s="4"/>
      <c r="D23" s="4"/>
      <c r="E23" s="6" t="str">
        <f aca="false">IF(C23="","",C23*D23)</f>
        <v/>
      </c>
      <c r="F23" s="1"/>
    </row>
    <row r="24" customFormat="false" ht="33.75" hidden="false" customHeight="true" outlineLevel="0" collapsed="false">
      <c r="A24" s="1"/>
      <c r="B24" s="1"/>
      <c r="C24" s="4"/>
      <c r="D24" s="4"/>
      <c r="E24" s="6" t="str">
        <f aca="false">IF(C24="","",C24*D24)</f>
        <v/>
      </c>
      <c r="F24" s="1"/>
    </row>
    <row r="25" customFormat="false" ht="33.75" hidden="false" customHeight="true" outlineLevel="0" collapsed="false">
      <c r="A25" s="1"/>
      <c r="B25" s="1"/>
      <c r="C25" s="4"/>
      <c r="D25" s="4"/>
      <c r="E25" s="6" t="str">
        <f aca="false">IF(C25="","",C25*D25)</f>
        <v/>
      </c>
      <c r="F25" s="1"/>
    </row>
    <row r="26" customFormat="false" ht="33.75" hidden="false" customHeight="true" outlineLevel="0" collapsed="false">
      <c r="A26" s="1"/>
      <c r="B26" s="1"/>
      <c r="C26" s="4"/>
      <c r="D26" s="4"/>
      <c r="E26" s="6" t="str">
        <f aca="false">IF(C26="","",C26*D26)</f>
        <v/>
      </c>
      <c r="F26" s="1"/>
    </row>
    <row r="27" customFormat="false" ht="33.75" hidden="false" customHeight="true" outlineLevel="0" collapsed="false">
      <c r="A27" s="1"/>
      <c r="B27" s="1"/>
      <c r="C27" s="4"/>
      <c r="D27" s="4"/>
      <c r="E27" s="6" t="str">
        <f aca="false">IF(C27="","",C27*D27)</f>
        <v/>
      </c>
      <c r="F27" s="1"/>
    </row>
    <row r="28" customFormat="false" ht="33.75" hidden="false" customHeight="true" outlineLevel="0" collapsed="false">
      <c r="A28" s="1"/>
      <c r="B28" s="1"/>
      <c r="C28" s="4"/>
      <c r="D28" s="4"/>
      <c r="E28" s="6" t="str">
        <f aca="false">IF(C28="","",C28*D28)</f>
        <v/>
      </c>
      <c r="F28" s="1"/>
    </row>
    <row r="29" customFormat="false" ht="33.75" hidden="false" customHeight="true" outlineLevel="0" collapsed="false">
      <c r="A29" s="1"/>
      <c r="B29" s="1"/>
      <c r="C29" s="4"/>
      <c r="D29" s="4"/>
      <c r="E29" s="6" t="str">
        <f aca="false">IF(C29="","",C29*D29)</f>
        <v/>
      </c>
      <c r="F29" s="1"/>
    </row>
    <row r="30" customFormat="false" ht="33.75" hidden="false" customHeight="true" outlineLevel="0" collapsed="false">
      <c r="A30" s="1"/>
      <c r="B30" s="1"/>
      <c r="C30" s="4"/>
      <c r="D30" s="4"/>
      <c r="E30" s="6" t="str">
        <f aca="false">IF(C30="","",C30*D30)</f>
        <v/>
      </c>
      <c r="F30" s="1"/>
    </row>
    <row r="31" customFormat="false" ht="33.75" hidden="false" customHeight="true" outlineLevel="0" collapsed="false">
      <c r="A31" s="1"/>
      <c r="B31" s="1"/>
      <c r="C31" s="4"/>
      <c r="D31" s="4"/>
      <c r="E31" s="6" t="str">
        <f aca="false">IF(C31="","",C31*D31)</f>
        <v/>
      </c>
      <c r="F31" s="1"/>
    </row>
    <row r="32" customFormat="false" ht="33.75" hidden="false" customHeight="true" outlineLevel="0" collapsed="false">
      <c r="A32" s="1"/>
      <c r="B32" s="1"/>
      <c r="C32" s="4"/>
      <c r="D32" s="4"/>
      <c r="E32" s="6" t="str">
        <f aca="false">IF(C32="","",C32*D32)</f>
        <v/>
      </c>
      <c r="F32" s="1"/>
    </row>
  </sheetData>
  <autoFilter ref="A2:F32"/>
  <dataValidations count="2"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C3:C32" type="decimal">
      <formula1>0</formula1>
      <formula2>1000000000</formula2>
    </dataValidation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D3:D32" type="decimal">
      <formula1>0</formula1>
      <formula2>1000000000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4"/>
  </cols>
  <sheetData>
    <row r="1" customFormat="false" ht="33.75" hidden="false" customHeight="true" outlineLevel="0" collapsed="false">
      <c r="A1" s="2" t="s">
        <v>56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57</v>
      </c>
      <c r="B2" s="3" t="s">
        <v>58</v>
      </c>
      <c r="C2" s="3" t="s">
        <v>59</v>
      </c>
      <c r="D2" s="3" t="s">
        <v>60</v>
      </c>
      <c r="E2" s="3" t="s">
        <v>42</v>
      </c>
      <c r="F2" s="3" t="s">
        <v>61</v>
      </c>
    </row>
    <row r="3" customFormat="false" ht="33.75" hidden="false" customHeight="true" outlineLevel="0" collapsed="false">
      <c r="A3" s="1" t="s">
        <v>62</v>
      </c>
      <c r="B3" s="1" t="s">
        <v>63</v>
      </c>
      <c r="C3" s="4" t="n">
        <v>40</v>
      </c>
      <c r="D3" s="4" t="n">
        <v>50</v>
      </c>
      <c r="E3" s="6" t="n">
        <f aca="false">C3*D3</f>
        <v>2000</v>
      </c>
      <c r="F3" s="1" t="s">
        <v>64</v>
      </c>
    </row>
    <row r="4" customFormat="false" ht="33.75" hidden="false" customHeight="true" outlineLevel="0" collapsed="false">
      <c r="A4" s="1"/>
      <c r="B4" s="1"/>
      <c r="C4" s="4"/>
      <c r="D4" s="4"/>
      <c r="E4" s="6" t="str">
        <f aca="false">IF(C4="","",C4*D4)</f>
        <v/>
      </c>
      <c r="F4" s="1"/>
    </row>
    <row r="5" customFormat="false" ht="33.75" hidden="false" customHeight="true" outlineLevel="0" collapsed="false">
      <c r="A5" s="1"/>
      <c r="B5" s="1"/>
      <c r="C5" s="4"/>
      <c r="D5" s="4"/>
      <c r="E5" s="6" t="str">
        <f aca="false">IF(C5="","",C5*D5)</f>
        <v/>
      </c>
      <c r="F5" s="1"/>
    </row>
    <row r="6" customFormat="false" ht="33.75" hidden="false" customHeight="true" outlineLevel="0" collapsed="false">
      <c r="A6" s="1"/>
      <c r="B6" s="1"/>
      <c r="C6" s="4"/>
      <c r="D6" s="4"/>
      <c r="E6" s="6" t="str">
        <f aca="false">IF(C6="","",C6*D6)</f>
        <v/>
      </c>
      <c r="F6" s="1"/>
    </row>
    <row r="7" customFormat="false" ht="33.75" hidden="false" customHeight="true" outlineLevel="0" collapsed="false">
      <c r="A7" s="1"/>
      <c r="B7" s="1"/>
      <c r="C7" s="4"/>
      <c r="D7" s="4"/>
      <c r="E7" s="6" t="str">
        <f aca="false">IF(C7="","",C7*D7)</f>
        <v/>
      </c>
      <c r="F7" s="1"/>
    </row>
    <row r="8" customFormat="false" ht="33.75" hidden="false" customHeight="true" outlineLevel="0" collapsed="false">
      <c r="A8" s="1"/>
      <c r="B8" s="1"/>
      <c r="C8" s="4"/>
      <c r="D8" s="4"/>
      <c r="E8" s="6" t="str">
        <f aca="false">IF(C8="","",C8*D8)</f>
        <v/>
      </c>
      <c r="F8" s="1"/>
    </row>
    <row r="9" customFormat="false" ht="33.75" hidden="false" customHeight="true" outlineLevel="0" collapsed="false">
      <c r="A9" s="1"/>
      <c r="B9" s="1"/>
      <c r="C9" s="4"/>
      <c r="D9" s="4"/>
      <c r="E9" s="6" t="str">
        <f aca="false">IF(C9="","",C9*D9)</f>
        <v/>
      </c>
      <c r="F9" s="1"/>
    </row>
    <row r="10" customFormat="false" ht="33.75" hidden="false" customHeight="true" outlineLevel="0" collapsed="false">
      <c r="A10" s="1"/>
      <c r="B10" s="1"/>
      <c r="C10" s="4"/>
      <c r="D10" s="4"/>
      <c r="E10" s="6" t="str">
        <f aca="false">IF(C10="","",C10*D10)</f>
        <v/>
      </c>
      <c r="F10" s="1"/>
    </row>
    <row r="11" customFormat="false" ht="33.75" hidden="false" customHeight="true" outlineLevel="0" collapsed="false">
      <c r="A11" s="1"/>
      <c r="B11" s="1"/>
      <c r="C11" s="4"/>
      <c r="D11" s="4"/>
      <c r="E11" s="6" t="str">
        <f aca="false">IF(C11="","",C11*D11)</f>
        <v/>
      </c>
      <c r="F11" s="1"/>
    </row>
    <row r="12" customFormat="false" ht="33.75" hidden="false" customHeight="true" outlineLevel="0" collapsed="false">
      <c r="A12" s="1"/>
      <c r="B12" s="1"/>
      <c r="C12" s="4"/>
      <c r="D12" s="4"/>
      <c r="E12" s="6" t="str">
        <f aca="false">IF(C12="","",C12*D12)</f>
        <v/>
      </c>
      <c r="F12" s="1"/>
    </row>
    <row r="13" customFormat="false" ht="33.75" hidden="false" customHeight="true" outlineLevel="0" collapsed="false">
      <c r="A13" s="1"/>
      <c r="B13" s="1"/>
      <c r="C13" s="4"/>
      <c r="D13" s="4"/>
      <c r="E13" s="6" t="str">
        <f aca="false">IF(C13="","",C13*D13)</f>
        <v/>
      </c>
      <c r="F13" s="1"/>
    </row>
    <row r="14" customFormat="false" ht="33.75" hidden="false" customHeight="true" outlineLevel="0" collapsed="false">
      <c r="A14" s="1"/>
      <c r="B14" s="1"/>
      <c r="C14" s="4"/>
      <c r="D14" s="4"/>
      <c r="E14" s="6" t="str">
        <f aca="false">IF(C14="","",C14*D14)</f>
        <v/>
      </c>
      <c r="F14" s="1"/>
    </row>
    <row r="15" customFormat="false" ht="33.75" hidden="false" customHeight="true" outlineLevel="0" collapsed="false">
      <c r="A15" s="1"/>
      <c r="B15" s="1"/>
      <c r="C15" s="4"/>
      <c r="D15" s="4"/>
      <c r="E15" s="6" t="str">
        <f aca="false">IF(C15="","",C15*D15)</f>
        <v/>
      </c>
      <c r="F15" s="1"/>
    </row>
    <row r="16" customFormat="false" ht="33.75" hidden="false" customHeight="true" outlineLevel="0" collapsed="false">
      <c r="A16" s="1"/>
      <c r="B16" s="1"/>
      <c r="C16" s="4"/>
      <c r="D16" s="4"/>
      <c r="E16" s="6" t="str">
        <f aca="false">IF(C16="","",C16*D16)</f>
        <v/>
      </c>
      <c r="F16" s="1"/>
    </row>
    <row r="17" customFormat="false" ht="33.75" hidden="false" customHeight="true" outlineLevel="0" collapsed="false">
      <c r="A17" s="1"/>
      <c r="B17" s="1"/>
      <c r="C17" s="4"/>
      <c r="D17" s="4"/>
      <c r="E17" s="6" t="str">
        <f aca="false">IF(C17="","",C17*D17)</f>
        <v/>
      </c>
      <c r="F17" s="1"/>
    </row>
    <row r="18" customFormat="false" ht="33.75" hidden="false" customHeight="true" outlineLevel="0" collapsed="false">
      <c r="A18" s="1"/>
      <c r="B18" s="1"/>
      <c r="C18" s="4"/>
      <c r="D18" s="4"/>
      <c r="E18" s="6" t="str">
        <f aca="false">IF(C18="","",C18*D18)</f>
        <v/>
      </c>
      <c r="F18" s="1"/>
    </row>
    <row r="19" customFormat="false" ht="33.75" hidden="false" customHeight="true" outlineLevel="0" collapsed="false">
      <c r="A19" s="1"/>
      <c r="B19" s="1"/>
      <c r="C19" s="4"/>
      <c r="D19" s="4"/>
      <c r="E19" s="6" t="str">
        <f aca="false">IF(C19="","",C19*D19)</f>
        <v/>
      </c>
      <c r="F19" s="1"/>
    </row>
    <row r="20" customFormat="false" ht="33.75" hidden="false" customHeight="true" outlineLevel="0" collapsed="false">
      <c r="A20" s="1"/>
      <c r="B20" s="1"/>
      <c r="C20" s="4"/>
      <c r="D20" s="4"/>
      <c r="E20" s="6" t="str">
        <f aca="false">IF(C20="","",C20*D20)</f>
        <v/>
      </c>
      <c r="F20" s="1"/>
    </row>
    <row r="21" customFormat="false" ht="33.75" hidden="false" customHeight="true" outlineLevel="0" collapsed="false">
      <c r="A21" s="1"/>
      <c r="B21" s="1"/>
      <c r="C21" s="4"/>
      <c r="D21" s="4"/>
      <c r="E21" s="6" t="str">
        <f aca="false">IF(C21="","",C21*D21)</f>
        <v/>
      </c>
      <c r="F21" s="1"/>
    </row>
    <row r="22" customFormat="false" ht="33.75" hidden="false" customHeight="true" outlineLevel="0" collapsed="false">
      <c r="A22" s="1"/>
      <c r="B22" s="1"/>
      <c r="C22" s="4"/>
      <c r="D22" s="4"/>
      <c r="E22" s="6" t="str">
        <f aca="false">IF(C22="","",C22*D22)</f>
        <v/>
      </c>
      <c r="F22" s="1"/>
    </row>
    <row r="23" customFormat="false" ht="33.75" hidden="false" customHeight="true" outlineLevel="0" collapsed="false">
      <c r="A23" s="1"/>
      <c r="B23" s="1"/>
      <c r="C23" s="4"/>
      <c r="D23" s="4"/>
      <c r="E23" s="6" t="str">
        <f aca="false">IF(C23="","",C23*D23)</f>
        <v/>
      </c>
      <c r="F23" s="1"/>
    </row>
    <row r="24" customFormat="false" ht="33.75" hidden="false" customHeight="true" outlineLevel="0" collapsed="false">
      <c r="A24" s="1"/>
      <c r="B24" s="1"/>
      <c r="C24" s="4"/>
      <c r="D24" s="4"/>
      <c r="E24" s="6" t="str">
        <f aca="false">IF(C24="","",C24*D24)</f>
        <v/>
      </c>
      <c r="F24" s="1"/>
    </row>
    <row r="25" customFormat="false" ht="33.75" hidden="false" customHeight="true" outlineLevel="0" collapsed="false">
      <c r="A25" s="1"/>
      <c r="B25" s="1"/>
      <c r="C25" s="4"/>
      <c r="D25" s="4"/>
      <c r="E25" s="6" t="str">
        <f aca="false">IF(C25="","",C25*D25)</f>
        <v/>
      </c>
      <c r="F25" s="1"/>
    </row>
    <row r="26" customFormat="false" ht="33.75" hidden="false" customHeight="true" outlineLevel="0" collapsed="false">
      <c r="A26" s="1"/>
      <c r="B26" s="1"/>
      <c r="C26" s="4"/>
      <c r="D26" s="4"/>
      <c r="E26" s="6" t="str">
        <f aca="false">IF(C26="","",C26*D26)</f>
        <v/>
      </c>
      <c r="F26" s="1"/>
    </row>
    <row r="27" customFormat="false" ht="33.75" hidden="false" customHeight="true" outlineLevel="0" collapsed="false">
      <c r="A27" s="1"/>
      <c r="B27" s="1"/>
      <c r="C27" s="4"/>
      <c r="D27" s="4"/>
      <c r="E27" s="6" t="str">
        <f aca="false">IF(C27="","",C27*D27)</f>
        <v/>
      </c>
      <c r="F27" s="1"/>
    </row>
    <row r="28" customFormat="false" ht="33.75" hidden="false" customHeight="true" outlineLevel="0" collapsed="false">
      <c r="A28" s="1"/>
      <c r="B28" s="1"/>
      <c r="C28" s="4"/>
      <c r="D28" s="4"/>
      <c r="E28" s="6" t="str">
        <f aca="false">IF(C28="","",C28*D28)</f>
        <v/>
      </c>
      <c r="F28" s="1"/>
    </row>
    <row r="29" customFormat="false" ht="33.75" hidden="false" customHeight="true" outlineLevel="0" collapsed="false">
      <c r="A29" s="1"/>
      <c r="B29" s="1"/>
      <c r="C29" s="4"/>
      <c r="D29" s="4"/>
      <c r="E29" s="6" t="str">
        <f aca="false">IF(C29="","",C29*D29)</f>
        <v/>
      </c>
      <c r="F29" s="1"/>
    </row>
    <row r="30" customFormat="false" ht="33.75" hidden="false" customHeight="true" outlineLevel="0" collapsed="false">
      <c r="A30" s="1"/>
      <c r="B30" s="1"/>
      <c r="C30" s="4"/>
      <c r="D30" s="4"/>
      <c r="E30" s="6" t="str">
        <f aca="false">IF(C30="","",C30*D30)</f>
        <v/>
      </c>
      <c r="F30" s="1"/>
    </row>
    <row r="31" customFormat="false" ht="33.75" hidden="false" customHeight="true" outlineLevel="0" collapsed="false">
      <c r="A31" s="1"/>
      <c r="B31" s="1"/>
      <c r="C31" s="4"/>
      <c r="D31" s="4"/>
      <c r="E31" s="6" t="str">
        <f aca="false">IF(C31="","",C31*D31)</f>
        <v/>
      </c>
      <c r="F31" s="1"/>
    </row>
    <row r="32" customFormat="false" ht="33.75" hidden="false" customHeight="true" outlineLevel="0" collapsed="false">
      <c r="A32" s="1"/>
      <c r="B32" s="1"/>
      <c r="C32" s="4"/>
      <c r="D32" s="4"/>
      <c r="E32" s="6" t="str">
        <f aca="false">IF(C32="","",C32*D32)</f>
        <v/>
      </c>
      <c r="F32" s="1"/>
    </row>
  </sheetData>
  <autoFilter ref="A2:F32"/>
  <dataValidations count="2"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C3:C32" type="decimal">
      <formula1>0</formula1>
      <formula2>1000000000</formula2>
    </dataValidation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D3:D32" type="decimal">
      <formula1>0</formula1>
      <formula2>1000000000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65"/>
  </cols>
  <sheetData>
    <row r="1" customFormat="false" ht="33.75" hidden="false" customHeight="true" outlineLevel="0" collapsed="false">
      <c r="A1" s="1" t="s">
        <v>65</v>
      </c>
      <c r="B1" s="1"/>
    </row>
    <row r="2" customFormat="false" ht="33.75" hidden="false" customHeight="true" outlineLevel="0" collapsed="false">
      <c r="A2" s="1" t="s">
        <v>66</v>
      </c>
      <c r="B2" s="1" t="s">
        <v>67</v>
      </c>
    </row>
    <row r="3" customFormat="false" ht="33.75" hidden="false" customHeight="true" outlineLevel="0" collapsed="false">
      <c r="A3" s="1" t="s">
        <v>68</v>
      </c>
      <c r="B3" s="7" t="n">
        <v>10</v>
      </c>
    </row>
    <row r="4" customFormat="false" ht="33.75" hidden="false" customHeight="true" outlineLevel="0" collapsed="false">
      <c r="A4" s="1" t="s">
        <v>69</v>
      </c>
      <c r="B4" s="6" t="n">
        <f aca="false">SUM('مواد الطلب'!G3:G32)</f>
        <v>8000</v>
      </c>
    </row>
    <row r="5" customFormat="false" ht="33.75" hidden="false" customHeight="true" outlineLevel="0" collapsed="false">
      <c r="A5" s="1" t="s">
        <v>70</v>
      </c>
      <c r="B5" s="6" t="n">
        <f aca="false">SUM('عمل مباشر'!E3:E32)</f>
        <v>3000</v>
      </c>
    </row>
    <row r="6" customFormat="false" ht="33.75" hidden="false" customHeight="true" outlineLevel="0" collapsed="false">
      <c r="A6" s="1" t="s">
        <v>71</v>
      </c>
      <c r="B6" s="6" t="n">
        <f aca="false">SUM('تحميل صناعي'!E3:E32)</f>
        <v>2000</v>
      </c>
    </row>
    <row r="7" customFormat="false" ht="33.75" hidden="false" customHeight="true" outlineLevel="0" collapsed="false">
      <c r="A7" s="1" t="s">
        <v>72</v>
      </c>
      <c r="B7" s="4" t="n">
        <v>500</v>
      </c>
    </row>
    <row r="8" customFormat="false" ht="33.75" hidden="false" customHeight="true" outlineLevel="0" collapsed="false">
      <c r="A8" s="1" t="s">
        <v>73</v>
      </c>
      <c r="B8" s="4" t="n">
        <v>500</v>
      </c>
    </row>
    <row r="9" customFormat="false" ht="33.75" hidden="false" customHeight="true" outlineLevel="0" collapsed="false">
      <c r="A9" s="1" t="s">
        <v>74</v>
      </c>
      <c r="B9" s="4" t="n">
        <v>300</v>
      </c>
    </row>
    <row r="10" customFormat="false" ht="33.75" hidden="false" customHeight="true" outlineLevel="0" collapsed="false">
      <c r="A10" s="1" t="s">
        <v>75</v>
      </c>
      <c r="B10" s="4" t="n">
        <v>1200</v>
      </c>
    </row>
    <row r="11" customFormat="false" ht="33.75" hidden="false" customHeight="true" outlineLevel="0" collapsed="false">
      <c r="A11" s="1" t="s">
        <v>76</v>
      </c>
      <c r="B11" s="4" t="n">
        <v>300</v>
      </c>
    </row>
    <row r="12" customFormat="false" ht="33.75" hidden="false" customHeight="true" outlineLevel="0" collapsed="false">
      <c r="A12" s="1" t="s">
        <v>77</v>
      </c>
      <c r="B12" s="4" t="n">
        <v>700</v>
      </c>
    </row>
    <row r="13" customFormat="false" ht="33.75" hidden="false" customHeight="true" outlineLevel="0" collapsed="false">
      <c r="A13" s="1" t="s">
        <v>78</v>
      </c>
      <c r="B13" s="6" t="n">
        <f aca="false">SUM(B4:B12)</f>
        <v>16500</v>
      </c>
    </row>
    <row r="14" customFormat="false" ht="33.75" hidden="false" customHeight="true" outlineLevel="0" collapsed="false">
      <c r="A14" s="1" t="s">
        <v>79</v>
      </c>
      <c r="B14" s="5" t="n">
        <v>0.25</v>
      </c>
    </row>
    <row r="15" customFormat="false" ht="33.75" hidden="false" customHeight="true" outlineLevel="0" collapsed="false">
      <c r="A15" s="1" t="s">
        <v>80</v>
      </c>
      <c r="B15" s="5" t="n">
        <v>0.03</v>
      </c>
    </row>
    <row r="16" customFormat="false" ht="33.75" hidden="false" customHeight="true" outlineLevel="0" collapsed="false">
      <c r="A16" s="1" t="s">
        <v>81</v>
      </c>
      <c r="B16" s="5" t="n">
        <v>0.05</v>
      </c>
    </row>
    <row r="17" customFormat="false" ht="33.75" hidden="false" customHeight="true" outlineLevel="0" collapsed="false">
      <c r="A17" s="1" t="s">
        <v>82</v>
      </c>
      <c r="B17" s="5" t="n">
        <v>0.15</v>
      </c>
    </row>
    <row r="18" customFormat="false" ht="33.75" hidden="false" customHeight="true" outlineLevel="0" collapsed="false">
      <c r="A18" s="1" t="s">
        <v>83</v>
      </c>
      <c r="B18" s="5" t="n">
        <v>0.2</v>
      </c>
    </row>
    <row r="19" customFormat="false" ht="33.75" hidden="false" customHeight="true" outlineLevel="0" collapsed="false">
      <c r="A19" s="1" t="s">
        <v>84</v>
      </c>
      <c r="B19" s="8" t="str">
        <f aca="false">IF(AND(COUNT(B3:B12)=10,COUNT(B14:B18)=5,B3&gt;0,MOD(B3,1)=0,MIN(B4:B12)&gt;=0,B13&gt;0,B14&gt;=0,B15&gt;=0,B14+B15&lt;1,B16&gt;=0,B16&lt;1,B17&gt;=0,B17&lt;=1,B18&gt;=0,B18+B15&lt;1,B18&lt;=B14),"صالح","راجع المدخلات")</f>
        <v>صالح</v>
      </c>
    </row>
    <row r="20" customFormat="false" ht="33.75" hidden="false" customHeight="true" outlineLevel="0" collapsed="false">
      <c r="A20" s="1" t="s">
        <v>85</v>
      </c>
      <c r="B20" s="6" t="n">
        <f aca="false">IF(B19="صالح",B13/(1-B14-B15),NA())</f>
        <v>22916.6666666667</v>
      </c>
    </row>
    <row r="21" customFormat="false" ht="33.75" hidden="false" customHeight="true" outlineLevel="0" collapsed="false">
      <c r="A21" s="1" t="s">
        <v>86</v>
      </c>
      <c r="B21" s="6" t="n">
        <f aca="false">IF(B19="صالح",B20/(1-B16),NA())</f>
        <v>24122.8070175439</v>
      </c>
    </row>
    <row r="22" customFormat="false" ht="33.75" hidden="false" customHeight="true" outlineLevel="0" collapsed="false">
      <c r="A22" s="1" t="s">
        <v>87</v>
      </c>
      <c r="B22" s="6" t="n">
        <f aca="false">B21*B16</f>
        <v>1206.14035087719</v>
      </c>
    </row>
    <row r="23" customFormat="false" ht="33.75" hidden="false" customHeight="true" outlineLevel="0" collapsed="false">
      <c r="A23" s="1" t="s">
        <v>88</v>
      </c>
      <c r="B23" s="6" t="n">
        <f aca="false">B21-B22</f>
        <v>22916.6666666667</v>
      </c>
    </row>
    <row r="24" customFormat="false" ht="33.75" hidden="false" customHeight="true" outlineLevel="0" collapsed="false">
      <c r="A24" s="1" t="s">
        <v>89</v>
      </c>
      <c r="B24" s="6" t="n">
        <f aca="false">B23*B17</f>
        <v>3437.5</v>
      </c>
    </row>
    <row r="25" customFormat="false" ht="33.75" hidden="false" customHeight="true" outlineLevel="0" collapsed="false">
      <c r="A25" s="1" t="s">
        <v>90</v>
      </c>
      <c r="B25" s="6" t="n">
        <f aca="false">B23+B24</f>
        <v>26354.1666666667</v>
      </c>
    </row>
    <row r="26" customFormat="false" ht="33.75" hidden="false" customHeight="true" outlineLevel="0" collapsed="false">
      <c r="A26" s="1" t="s">
        <v>91</v>
      </c>
      <c r="B26" s="6" t="n">
        <f aca="false">B23*B15</f>
        <v>687.5</v>
      </c>
    </row>
    <row r="27" customFormat="false" ht="33.75" hidden="false" customHeight="true" outlineLevel="0" collapsed="false">
      <c r="A27" s="1" t="s">
        <v>92</v>
      </c>
      <c r="B27" s="6" t="n">
        <f aca="false">B23-B13-B26</f>
        <v>5729.16666666667</v>
      </c>
    </row>
    <row r="28" customFormat="false" ht="33.75" hidden="false" customHeight="true" outlineLevel="0" collapsed="false">
      <c r="A28" s="1" t="s">
        <v>93</v>
      </c>
      <c r="B28" s="9" t="n">
        <f aca="false">B27/B23</f>
        <v>0.25</v>
      </c>
    </row>
    <row r="29" customFormat="false" ht="33.75" hidden="false" customHeight="true" outlineLevel="0" collapsed="false">
      <c r="A29" s="1" t="s">
        <v>94</v>
      </c>
      <c r="B29" s="6" t="n">
        <f aca="false">B23/B3</f>
        <v>2291.66666666667</v>
      </c>
    </row>
    <row r="30" customFormat="false" ht="33.75" hidden="false" customHeight="true" outlineLevel="0" collapsed="false">
      <c r="A30" s="1" t="s">
        <v>95</v>
      </c>
      <c r="B30" s="6" t="n">
        <f aca="false">B13/(1-B15)</f>
        <v>17010.3092783505</v>
      </c>
    </row>
    <row r="31" customFormat="false" ht="33.75" hidden="false" customHeight="true" outlineLevel="0" collapsed="false">
      <c r="A31" s="1" t="s">
        <v>96</v>
      </c>
      <c r="B31" s="9" t="n">
        <f aca="false">1-B13/(B21*(1-B18-B15))</f>
        <v>0.111688311688312</v>
      </c>
    </row>
    <row r="32" customFormat="false" ht="33.75" hidden="false" customHeight="true" outlineLevel="0" collapsed="false">
      <c r="A32" s="1" t="s">
        <v>97</v>
      </c>
      <c r="B32" s="8" t="str">
        <f aca="false">IF(B19&lt;&gt;"صالح","راجع المدخلات",IF(B16&lt;=B31,"ضمن الحد","يتطلب اعتمادًا استثنائيًا"))</f>
        <v>ضمن الحد</v>
      </c>
    </row>
    <row r="33" customFormat="false" ht="33.75" hidden="false" customHeight="true" outlineLevel="0" collapsed="false">
      <c r="A33" s="1" t="s">
        <v>98</v>
      </c>
      <c r="B33" s="1" t="s">
        <v>99</v>
      </c>
    </row>
  </sheetData>
  <dataValidations count="5"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B14:B16" type="decimal">
      <formula1>0</formula1>
      <formula2>0.999999</formula2>
    </dataValidation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B17" type="decimal">
      <formula1>0</formula1>
      <formula2>1</formula2>
    </dataValidation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B18" type="decimal">
      <formula1>0</formula1>
      <formula2>0.999999</formula2>
    </dataValidation>
    <dataValidation allowBlank="true" error="راجع حدود النسبة أو القيمة؛ لا تدخل قيمة سالبة." errorStyle="stop" errorTitle="قيمة غير صالحة" operator="between" showDropDown="false" showErrorMessage="true" showInputMessage="false" sqref="B7:B12" type="decimal">
      <formula1>0</formula1>
      <formula2>1000000000</formula2>
    </dataValidation>
    <dataValidation allowBlank="false" errorStyle="stop" operator="between" showDropDown="false" showErrorMessage="true" showInputMessage="false" sqref="B3" type="whole">
      <formula1>1</formula1>
      <formula2>1000000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24"/>
  </cols>
  <sheetData>
    <row r="1" customFormat="false" ht="33.75" hidden="false" customHeight="true" outlineLevel="0" collapsed="false">
      <c r="A1" s="2" t="s">
        <v>100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101</v>
      </c>
      <c r="B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</row>
    <row r="3" customFormat="false" ht="33.75" hidden="false" customHeight="true" outlineLevel="0" collapsed="false">
      <c r="A3" s="1" t="s">
        <v>110</v>
      </c>
      <c r="B3" s="1" t="n">
        <v>1</v>
      </c>
      <c r="C3" s="1" t="n">
        <v>1</v>
      </c>
      <c r="D3" s="5" t="n">
        <v>0.05</v>
      </c>
      <c r="E3" s="6" t="n">
        <f aca="false">التسعير!B13+التسعير!B4*(B3-1)+التسعير!B5*(C3-1)</f>
        <v>16500</v>
      </c>
      <c r="F3" s="6" t="n">
        <f aca="false">التسعير!B21</f>
        <v>24122.8070175439</v>
      </c>
      <c r="G3" s="6" t="n">
        <f aca="false">F3*(1-D3)</f>
        <v>22916.6666666667</v>
      </c>
      <c r="H3" s="6" t="n">
        <f aca="false">G3*(1-التسعير!B15)-E3</f>
        <v>5729.16666666667</v>
      </c>
      <c r="I3" s="9" t="n">
        <f aca="false">H3/G3</f>
        <v>0.25</v>
      </c>
    </row>
    <row r="4" customFormat="false" ht="33.75" hidden="false" customHeight="true" outlineLevel="0" collapsed="false">
      <c r="A4" s="1" t="s">
        <v>111</v>
      </c>
      <c r="B4" s="1" t="n">
        <v>1.1</v>
      </c>
      <c r="C4" s="1" t="n">
        <v>1</v>
      </c>
      <c r="D4" s="5" t="n">
        <v>0.05</v>
      </c>
      <c r="E4" s="6" t="n">
        <f aca="false">التسعير!B13+التسعير!B4*(B4-1)+التسعير!B5*(C4-1)</f>
        <v>17300</v>
      </c>
      <c r="F4" s="6" t="n">
        <f aca="false">التسعير!B21</f>
        <v>24122.8070175439</v>
      </c>
      <c r="G4" s="6" t="n">
        <f aca="false">F4*(1-D4)</f>
        <v>22916.6666666667</v>
      </c>
      <c r="H4" s="6" t="n">
        <f aca="false">G4*(1-التسعير!B15)-E4</f>
        <v>4929.16666666667</v>
      </c>
      <c r="I4" s="9" t="n">
        <f aca="false">H4/G4</f>
        <v>0.215090909090909</v>
      </c>
    </row>
    <row r="5" customFormat="false" ht="33.75" hidden="false" customHeight="true" outlineLevel="0" collapsed="false">
      <c r="A5" s="1" t="s">
        <v>112</v>
      </c>
      <c r="B5" s="1" t="n">
        <v>1</v>
      </c>
      <c r="C5" s="1" t="n">
        <v>1.2</v>
      </c>
      <c r="D5" s="5" t="n">
        <v>0.05</v>
      </c>
      <c r="E5" s="6" t="n">
        <f aca="false">التسعير!B13+التسعير!B4*(B5-1)+التسعير!B5*(C5-1)</f>
        <v>17100</v>
      </c>
      <c r="F5" s="6" t="n">
        <f aca="false">التسعير!B21</f>
        <v>24122.8070175439</v>
      </c>
      <c r="G5" s="6" t="n">
        <f aca="false">F5*(1-D5)</f>
        <v>22916.6666666667</v>
      </c>
      <c r="H5" s="6" t="n">
        <f aca="false">G5*(1-التسعير!B15)-E5</f>
        <v>5129.16666666667</v>
      </c>
      <c r="I5" s="9" t="n">
        <f aca="false">H5/G5</f>
        <v>0.223818181818182</v>
      </c>
    </row>
    <row r="6" customFormat="false" ht="33.75" hidden="false" customHeight="true" outlineLevel="0" collapsed="false">
      <c r="A6" s="1" t="s">
        <v>113</v>
      </c>
      <c r="B6" s="1" t="n">
        <v>1</v>
      </c>
      <c r="C6" s="1" t="n">
        <v>1</v>
      </c>
      <c r="D6" s="5" t="n">
        <v>0.1</v>
      </c>
      <c r="E6" s="6" t="n">
        <f aca="false">التسعير!B13+التسعير!B4*(B6-1)+التسعير!B5*(C6-1)</f>
        <v>16500</v>
      </c>
      <c r="F6" s="6" t="n">
        <f aca="false">التسعير!B21</f>
        <v>24122.8070175439</v>
      </c>
      <c r="G6" s="6" t="n">
        <f aca="false">F6*(1-D6)</f>
        <v>21710.5263157895</v>
      </c>
      <c r="H6" s="6" t="n">
        <f aca="false">G6*(1-التسعير!B15)-E6</f>
        <v>4559.21052631579</v>
      </c>
      <c r="I6" s="9" t="n">
        <f aca="false">H6/G6</f>
        <v>0.21</v>
      </c>
    </row>
    <row r="7" customFormat="false" ht="33.75" hidden="false" customHeight="true" outlineLevel="0" collapsed="false">
      <c r="A7" s="1" t="s">
        <v>114</v>
      </c>
      <c r="B7" s="1" t="n">
        <v>1.1</v>
      </c>
      <c r="C7" s="1" t="n">
        <v>1.2</v>
      </c>
      <c r="D7" s="5" t="n">
        <v>0.1</v>
      </c>
      <c r="E7" s="6" t="n">
        <f aca="false">التسعير!B13+التسعير!B4*(B7-1)+التسعير!B5*(C7-1)</f>
        <v>17900</v>
      </c>
      <c r="F7" s="6" t="n">
        <f aca="false">التسعير!B21</f>
        <v>24122.8070175439</v>
      </c>
      <c r="G7" s="6" t="n">
        <f aca="false">F7*(1-D7)</f>
        <v>21710.5263157895</v>
      </c>
      <c r="H7" s="6" t="n">
        <f aca="false">G7*(1-التسعير!B15)-E7</f>
        <v>3159.21052631579</v>
      </c>
      <c r="I7" s="9" t="n">
        <f aca="false">H7/G7</f>
        <v>0.145515151515152</v>
      </c>
    </row>
    <row r="8" customFormat="false" ht="33.75" hidden="false" customHeight="true" outlineLevel="0" collapsed="false">
      <c r="A8" s="1"/>
      <c r="B8" s="1"/>
      <c r="C8" s="1"/>
      <c r="D8" s="5"/>
      <c r="E8" s="4"/>
      <c r="F8" s="4"/>
      <c r="G8" s="4"/>
      <c r="H8" s="4"/>
      <c r="I8" s="5"/>
    </row>
    <row r="9" customFormat="false" ht="33.75" hidden="false" customHeight="true" outlineLevel="0" collapsed="false">
      <c r="A9" s="1"/>
      <c r="B9" s="1"/>
      <c r="C9" s="1"/>
      <c r="D9" s="5"/>
      <c r="E9" s="4"/>
      <c r="F9" s="4"/>
      <c r="G9" s="4"/>
      <c r="H9" s="4"/>
      <c r="I9" s="5"/>
    </row>
    <row r="10" customFormat="false" ht="33.75" hidden="false" customHeight="true" outlineLevel="0" collapsed="false">
      <c r="A10" s="1"/>
      <c r="B10" s="1"/>
      <c r="C10" s="1"/>
      <c r="D10" s="5"/>
      <c r="E10" s="4"/>
      <c r="F10" s="4"/>
      <c r="G10" s="4"/>
      <c r="H10" s="4"/>
      <c r="I10" s="5"/>
    </row>
    <row r="11" customFormat="false" ht="33.75" hidden="false" customHeight="true" outlineLevel="0" collapsed="false">
      <c r="A11" s="1"/>
      <c r="B11" s="1"/>
      <c r="C11" s="1"/>
      <c r="D11" s="5"/>
      <c r="E11" s="4"/>
      <c r="F11" s="4"/>
      <c r="G11" s="4"/>
      <c r="H11" s="4"/>
      <c r="I11" s="5"/>
    </row>
    <row r="12" customFormat="false" ht="33.75" hidden="false" customHeight="true" outlineLevel="0" collapsed="false">
      <c r="A12" s="1"/>
      <c r="B12" s="1"/>
      <c r="C12" s="1"/>
      <c r="D12" s="5"/>
      <c r="E12" s="4"/>
      <c r="F12" s="4"/>
      <c r="G12" s="4"/>
      <c r="H12" s="4"/>
      <c r="I12" s="5"/>
    </row>
    <row r="13" customFormat="false" ht="33.75" hidden="false" customHeight="true" outlineLevel="0" collapsed="false">
      <c r="A13" s="1"/>
      <c r="B13" s="1"/>
      <c r="C13" s="1"/>
      <c r="D13" s="5"/>
      <c r="E13" s="4"/>
      <c r="F13" s="4"/>
      <c r="G13" s="4"/>
      <c r="H13" s="4"/>
      <c r="I13" s="5"/>
    </row>
    <row r="14" customFormat="false" ht="33.75" hidden="false" customHeight="true" outlineLevel="0" collapsed="false">
      <c r="A14" s="1"/>
      <c r="B14" s="1"/>
      <c r="C14" s="1"/>
      <c r="D14" s="5"/>
      <c r="E14" s="4"/>
      <c r="F14" s="4"/>
      <c r="G14" s="4"/>
      <c r="H14" s="4"/>
      <c r="I14" s="5"/>
    </row>
    <row r="15" customFormat="false" ht="33.75" hidden="false" customHeight="true" outlineLevel="0" collapsed="false">
      <c r="A15" s="1"/>
      <c r="B15" s="1"/>
      <c r="C15" s="1"/>
      <c r="D15" s="5"/>
      <c r="E15" s="4"/>
      <c r="F15" s="4"/>
      <c r="G15" s="4"/>
      <c r="H15" s="4"/>
      <c r="I15" s="5"/>
    </row>
    <row r="16" customFormat="false" ht="33.75" hidden="false" customHeight="true" outlineLevel="0" collapsed="false">
      <c r="A16" s="1"/>
      <c r="B16" s="1"/>
      <c r="C16" s="1"/>
      <c r="D16" s="5"/>
      <c r="E16" s="4"/>
      <c r="F16" s="4"/>
      <c r="G16" s="4"/>
      <c r="H16" s="4"/>
      <c r="I16" s="5"/>
    </row>
    <row r="17" customFormat="false" ht="33.75" hidden="false" customHeight="true" outlineLevel="0" collapsed="false">
      <c r="A17" s="1"/>
      <c r="B17" s="1"/>
      <c r="C17" s="1"/>
      <c r="D17" s="5"/>
      <c r="E17" s="4"/>
      <c r="F17" s="4"/>
      <c r="G17" s="4"/>
      <c r="H17" s="4"/>
      <c r="I17" s="5"/>
    </row>
    <row r="18" customFormat="false" ht="33.75" hidden="false" customHeight="true" outlineLevel="0" collapsed="false">
      <c r="A18" s="1"/>
      <c r="B18" s="1"/>
      <c r="C18" s="1"/>
      <c r="D18" s="5"/>
      <c r="E18" s="4"/>
      <c r="F18" s="4"/>
      <c r="G18" s="4"/>
      <c r="H18" s="4"/>
      <c r="I18" s="5"/>
    </row>
    <row r="19" customFormat="false" ht="33.75" hidden="false" customHeight="true" outlineLevel="0" collapsed="false">
      <c r="A19" s="1"/>
      <c r="B19" s="1"/>
      <c r="C19" s="1"/>
      <c r="D19" s="5"/>
      <c r="E19" s="4"/>
      <c r="F19" s="4"/>
      <c r="G19" s="4"/>
      <c r="H19" s="4"/>
      <c r="I19" s="5"/>
    </row>
    <row r="20" customFormat="false" ht="33.75" hidden="false" customHeight="true" outlineLevel="0" collapsed="false">
      <c r="A20" s="1"/>
      <c r="B20" s="1"/>
      <c r="C20" s="1"/>
      <c r="D20" s="5"/>
      <c r="E20" s="4"/>
      <c r="F20" s="4"/>
      <c r="G20" s="4"/>
      <c r="H20" s="4"/>
      <c r="I20" s="5"/>
    </row>
    <row r="21" customFormat="false" ht="33.75" hidden="false" customHeight="true" outlineLevel="0" collapsed="false">
      <c r="A21" s="1"/>
      <c r="B21" s="1"/>
      <c r="C21" s="1"/>
      <c r="D21" s="5"/>
      <c r="E21" s="4"/>
      <c r="F21" s="4"/>
      <c r="G21" s="4"/>
      <c r="H21" s="4"/>
      <c r="I21" s="5"/>
    </row>
    <row r="22" customFormat="false" ht="33.75" hidden="false" customHeight="true" outlineLevel="0" collapsed="false">
      <c r="A22" s="1"/>
      <c r="B22" s="1"/>
      <c r="C22" s="1"/>
      <c r="D22" s="5"/>
      <c r="E22" s="4"/>
      <c r="F22" s="4"/>
      <c r="G22" s="4"/>
      <c r="H22" s="4"/>
      <c r="I22" s="5"/>
    </row>
    <row r="23" customFormat="false" ht="33.75" hidden="false" customHeight="true" outlineLevel="0" collapsed="false">
      <c r="A23" s="1"/>
      <c r="B23" s="1"/>
      <c r="C23" s="1"/>
      <c r="D23" s="5"/>
      <c r="E23" s="4"/>
      <c r="F23" s="4"/>
      <c r="G23" s="4"/>
      <c r="H23" s="4"/>
      <c r="I23" s="5"/>
    </row>
    <row r="24" customFormat="false" ht="33.75" hidden="false" customHeight="true" outlineLevel="0" collapsed="false">
      <c r="A24" s="1"/>
      <c r="B24" s="1"/>
      <c r="C24" s="1"/>
      <c r="D24" s="5"/>
      <c r="E24" s="4"/>
      <c r="F24" s="4"/>
      <c r="G24" s="4"/>
      <c r="H24" s="4"/>
      <c r="I24" s="5"/>
    </row>
    <row r="25" customFormat="false" ht="33.75" hidden="false" customHeight="true" outlineLevel="0" collapsed="false">
      <c r="A25" s="1"/>
      <c r="B25" s="1"/>
      <c r="C25" s="1"/>
      <c r="D25" s="5"/>
      <c r="E25" s="4"/>
      <c r="F25" s="4"/>
      <c r="G25" s="4"/>
      <c r="H25" s="4"/>
      <c r="I25" s="5"/>
    </row>
    <row r="26" customFormat="false" ht="33.75" hidden="false" customHeight="true" outlineLevel="0" collapsed="false">
      <c r="A26" s="1"/>
      <c r="B26" s="1"/>
      <c r="C26" s="1"/>
      <c r="D26" s="5"/>
      <c r="E26" s="4"/>
      <c r="F26" s="4"/>
      <c r="G26" s="4"/>
      <c r="H26" s="4"/>
      <c r="I26" s="5"/>
    </row>
    <row r="27" customFormat="false" ht="33.75" hidden="false" customHeight="true" outlineLevel="0" collapsed="false">
      <c r="A27" s="1"/>
      <c r="B27" s="1"/>
      <c r="C27" s="1"/>
      <c r="D27" s="5"/>
      <c r="E27" s="4"/>
      <c r="F27" s="4"/>
      <c r="G27" s="4"/>
      <c r="H27" s="4"/>
      <c r="I27" s="5"/>
    </row>
    <row r="28" customFormat="false" ht="33.75" hidden="false" customHeight="true" outlineLevel="0" collapsed="false">
      <c r="A28" s="1"/>
      <c r="B28" s="1"/>
      <c r="C28" s="1"/>
      <c r="D28" s="5"/>
      <c r="E28" s="4"/>
      <c r="F28" s="4"/>
      <c r="G28" s="4"/>
      <c r="H28" s="4"/>
      <c r="I28" s="5"/>
    </row>
    <row r="29" customFormat="false" ht="33.75" hidden="false" customHeight="true" outlineLevel="0" collapsed="false">
      <c r="A29" s="1"/>
      <c r="B29" s="1"/>
      <c r="C29" s="1"/>
      <c r="D29" s="5"/>
      <c r="E29" s="4"/>
      <c r="F29" s="4"/>
      <c r="G29" s="4"/>
      <c r="H29" s="4"/>
      <c r="I29" s="5"/>
    </row>
    <row r="30" customFormat="false" ht="33.75" hidden="false" customHeight="true" outlineLevel="0" collapsed="false">
      <c r="A30" s="1"/>
      <c r="B30" s="1"/>
      <c r="C30" s="1"/>
      <c r="D30" s="5"/>
      <c r="E30" s="4"/>
      <c r="F30" s="4"/>
      <c r="G30" s="4"/>
      <c r="H30" s="4"/>
      <c r="I30" s="5"/>
    </row>
    <row r="31" customFormat="false" ht="33.75" hidden="false" customHeight="true" outlineLevel="0" collapsed="false">
      <c r="A31" s="1"/>
      <c r="B31" s="1"/>
      <c r="C31" s="1"/>
      <c r="D31" s="5"/>
      <c r="E31" s="4"/>
      <c r="F31" s="4"/>
      <c r="G31" s="4"/>
      <c r="H31" s="4"/>
      <c r="I31" s="5"/>
    </row>
    <row r="32" customFormat="false" ht="33.75" hidden="false" customHeight="true" outlineLevel="0" collapsed="false">
      <c r="A32" s="1"/>
      <c r="B32" s="1"/>
      <c r="C32" s="1"/>
      <c r="D32" s="5"/>
      <c r="E32" s="4"/>
      <c r="F32" s="4"/>
      <c r="G32" s="4"/>
      <c r="H32" s="4"/>
      <c r="I32" s="5"/>
    </row>
  </sheetData>
  <autoFilter ref="A2:I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4"/>
  </cols>
  <sheetData>
    <row r="1" customFormat="false" ht="33.75" hidden="false" customHeight="true" outlineLevel="0" collapsed="false">
      <c r="A1" s="2" t="s">
        <v>115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</row>
    <row r="3" customFormat="false" ht="33.75" hidden="false" customHeight="true" outlineLevel="0" collapsed="false">
      <c r="A3" s="1" t="s">
        <v>69</v>
      </c>
      <c r="B3" s="6" t="n">
        <f aca="false">التسعير!B4</f>
        <v>8000</v>
      </c>
      <c r="C3" s="4"/>
      <c r="D3" s="6" t="str">
        <f aca="false">IF(C3="","",C3-B3)</f>
        <v/>
      </c>
      <c r="E3" s="9" t="str">
        <f aca="false">IF(OR(C3="",B3=0),"",D3/B3)</f>
        <v/>
      </c>
      <c r="F3" s="1"/>
    </row>
    <row r="4" customFormat="false" ht="33.75" hidden="false" customHeight="true" outlineLevel="0" collapsed="false">
      <c r="A4" s="1" t="s">
        <v>70</v>
      </c>
      <c r="B4" s="6" t="n">
        <f aca="false">التسعير!B5</f>
        <v>3000</v>
      </c>
      <c r="C4" s="4"/>
      <c r="D4" s="6" t="str">
        <f aca="false">IF(C4="","",C4-B4)</f>
        <v/>
      </c>
      <c r="E4" s="9" t="str">
        <f aca="false">IF(OR(C4="",B4=0),"",D4/B4)</f>
        <v/>
      </c>
      <c r="F4" s="1"/>
    </row>
    <row r="5" customFormat="false" ht="33.75" hidden="false" customHeight="true" outlineLevel="0" collapsed="false">
      <c r="A5" s="1" t="s">
        <v>71</v>
      </c>
      <c r="B5" s="6" t="n">
        <f aca="false">التسعير!B6</f>
        <v>2000</v>
      </c>
      <c r="C5" s="4"/>
      <c r="D5" s="6" t="str">
        <f aca="false">IF(C5="","",C5-B5)</f>
        <v/>
      </c>
      <c r="E5" s="9" t="str">
        <f aca="false">IF(OR(C5="",B5=0),"",D5/B5)</f>
        <v/>
      </c>
      <c r="F5" s="1"/>
    </row>
    <row r="6" customFormat="false" ht="33.75" hidden="false" customHeight="true" outlineLevel="0" collapsed="false">
      <c r="A6" s="1" t="s">
        <v>72</v>
      </c>
      <c r="B6" s="6" t="n">
        <f aca="false">التسعير!B7</f>
        <v>500</v>
      </c>
      <c r="C6" s="4"/>
      <c r="D6" s="6" t="str">
        <f aca="false">IF(C6="","",C6-B6)</f>
        <v/>
      </c>
      <c r="E6" s="9" t="str">
        <f aca="false">IF(OR(C6="",B6=0),"",D6/B6)</f>
        <v/>
      </c>
      <c r="F6" s="1"/>
    </row>
    <row r="7" customFormat="false" ht="33.75" hidden="false" customHeight="true" outlineLevel="0" collapsed="false">
      <c r="A7" s="1" t="s">
        <v>73</v>
      </c>
      <c r="B7" s="6" t="n">
        <f aca="false">التسعير!B8</f>
        <v>500</v>
      </c>
      <c r="C7" s="4"/>
      <c r="D7" s="6" t="str">
        <f aca="false">IF(C7="","",C7-B7)</f>
        <v/>
      </c>
      <c r="E7" s="9" t="str">
        <f aca="false">IF(OR(C7="",B7=0),"",D7/B7)</f>
        <v/>
      </c>
      <c r="F7" s="1"/>
    </row>
    <row r="8" customFormat="false" ht="33.75" hidden="false" customHeight="true" outlineLevel="0" collapsed="false">
      <c r="A8" s="1" t="s">
        <v>74</v>
      </c>
      <c r="B8" s="6" t="n">
        <f aca="false">التسعير!B9</f>
        <v>300</v>
      </c>
      <c r="C8" s="4"/>
      <c r="D8" s="6" t="str">
        <f aca="false">IF(C8="","",C8-B8)</f>
        <v/>
      </c>
      <c r="E8" s="9" t="str">
        <f aca="false">IF(OR(C8="",B8=0),"",D8/B8)</f>
        <v/>
      </c>
      <c r="F8" s="1"/>
    </row>
    <row r="9" customFormat="false" ht="33.75" hidden="false" customHeight="true" outlineLevel="0" collapsed="false">
      <c r="A9" s="1" t="s">
        <v>75</v>
      </c>
      <c r="B9" s="6" t="n">
        <f aca="false">التسعير!B10</f>
        <v>1200</v>
      </c>
      <c r="C9" s="4"/>
      <c r="D9" s="6" t="str">
        <f aca="false">IF(C9="","",C9-B9)</f>
        <v/>
      </c>
      <c r="E9" s="9" t="str">
        <f aca="false">IF(OR(C9="",B9=0),"",D9/B9)</f>
        <v/>
      </c>
      <c r="F9" s="1"/>
    </row>
    <row r="10" customFormat="false" ht="33.75" hidden="false" customHeight="true" outlineLevel="0" collapsed="false">
      <c r="A10" s="1" t="s">
        <v>76</v>
      </c>
      <c r="B10" s="6" t="n">
        <f aca="false">التسعير!B11</f>
        <v>300</v>
      </c>
      <c r="C10" s="4"/>
      <c r="D10" s="6" t="str">
        <f aca="false">IF(C10="","",C10-B10)</f>
        <v/>
      </c>
      <c r="E10" s="9" t="str">
        <f aca="false">IF(OR(C10="",B10=0),"",D10/B10)</f>
        <v/>
      </c>
      <c r="F10" s="1"/>
    </row>
    <row r="11" customFormat="false" ht="33.75" hidden="false" customHeight="true" outlineLevel="0" collapsed="false">
      <c r="A11" s="1" t="s">
        <v>77</v>
      </c>
      <c r="B11" s="6" t="n">
        <f aca="false">التسعير!B12</f>
        <v>700</v>
      </c>
      <c r="C11" s="4"/>
      <c r="D11" s="6" t="str">
        <f aca="false">IF(C11="","",C11-B11)</f>
        <v/>
      </c>
      <c r="E11" s="9" t="str">
        <f aca="false">IF(OR(C11="",B11=0),"",D11/B11)</f>
        <v/>
      </c>
      <c r="F11" s="1"/>
    </row>
    <row r="12" customFormat="false" ht="33.75" hidden="false" customHeight="true" outlineLevel="0" collapsed="false">
      <c r="A12" s="1"/>
      <c r="B12" s="4"/>
      <c r="C12" s="4"/>
      <c r="D12" s="4"/>
      <c r="E12" s="5"/>
      <c r="F12" s="1"/>
    </row>
    <row r="13" customFormat="false" ht="33.75" hidden="false" customHeight="true" outlineLevel="0" collapsed="false">
      <c r="A13" s="1" t="s">
        <v>122</v>
      </c>
      <c r="B13" s="6" t="n">
        <f aca="false">SUM(B3:B11)</f>
        <v>16500</v>
      </c>
      <c r="C13" s="6" t="str">
        <f aca="false">IF(COUNT(C3:C11)=9,SUM(C3:C11),"")</f>
        <v/>
      </c>
      <c r="D13" s="6" t="str">
        <f aca="false">IF(C13="","",C13-B13)</f>
        <v/>
      </c>
      <c r="E13" s="9" t="str">
        <f aca="false">IF(C13="","",D13/B13)</f>
        <v/>
      </c>
      <c r="F13" s="1"/>
    </row>
  </sheetData>
  <autoFilter ref="A2:F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24"/>
  </cols>
  <sheetData>
    <row r="1" customFormat="false" ht="33.75" hidden="false" customHeight="true" outlineLevel="0" collapsed="false">
      <c r="A1" s="2" t="s">
        <v>123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124</v>
      </c>
      <c r="B2" s="3" t="s">
        <v>125</v>
      </c>
      <c r="C2" s="3" t="s">
        <v>126</v>
      </c>
      <c r="D2" s="3" t="s">
        <v>127</v>
      </c>
      <c r="E2" s="3" t="s">
        <v>128</v>
      </c>
      <c r="F2" s="3" t="s">
        <v>129</v>
      </c>
      <c r="G2" s="3" t="s">
        <v>130</v>
      </c>
      <c r="H2" s="3" t="s">
        <v>131</v>
      </c>
      <c r="I2" s="3" t="s">
        <v>98</v>
      </c>
    </row>
    <row r="3" customFormat="false" ht="33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33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33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33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33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33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33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33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33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33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33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33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33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33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33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33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33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33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33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33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33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33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3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33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33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33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33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3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33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33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</row>
  </sheetData>
  <autoFilter ref="A2:I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24"/>
  </cols>
  <sheetData>
    <row r="1" customFormat="false" ht="33.75" hidden="false" customHeight="true" outlineLevel="0" collapsed="false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3.75" hidden="false" customHeight="true" outlineLevel="0" collapsed="false">
      <c r="A2" s="3" t="s">
        <v>133</v>
      </c>
      <c r="B2" s="3" t="s">
        <v>127</v>
      </c>
      <c r="C2" s="3" t="s">
        <v>134</v>
      </c>
      <c r="D2" s="3" t="s">
        <v>135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140</v>
      </c>
      <c r="J2" s="3" t="s">
        <v>141</v>
      </c>
      <c r="K2" s="3" t="s">
        <v>98</v>
      </c>
    </row>
    <row r="3" customFormat="false" ht="33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3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33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33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33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33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customFormat="false" ht="33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33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33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33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33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33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33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customFormat="false" ht="33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33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33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false" ht="33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customFormat="false" ht="33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customFormat="false" ht="33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customFormat="false" ht="33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33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customFormat="false" ht="33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customFormat="false" ht="3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customFormat="false" ht="33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customFormat="false" ht="33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customFormat="false" ht="33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33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3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33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33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autoFilter ref="A2:K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24"/>
  </cols>
  <sheetData>
    <row r="1" customFormat="false" ht="33.75" hidden="false" customHeight="true" outlineLevel="0" collapsed="false">
      <c r="A1" s="2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3.75" hidden="false" customHeight="true" outlineLevel="0" collapsed="false">
      <c r="A2" s="3" t="s">
        <v>143</v>
      </c>
      <c r="B2" s="3" t="s">
        <v>144</v>
      </c>
      <c r="C2" s="3" t="s">
        <v>145</v>
      </c>
      <c r="D2" s="3" t="s">
        <v>146</v>
      </c>
      <c r="E2" s="3" t="s">
        <v>147</v>
      </c>
      <c r="F2" s="3" t="s">
        <v>136</v>
      </c>
      <c r="G2" s="3" t="s">
        <v>148</v>
      </c>
      <c r="H2" s="3" t="s">
        <v>149</v>
      </c>
      <c r="I2" s="3" t="s">
        <v>150</v>
      </c>
      <c r="J2" s="3" t="s">
        <v>151</v>
      </c>
      <c r="K2" s="3" t="s">
        <v>152</v>
      </c>
    </row>
    <row r="3" customFormat="false" ht="33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33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33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33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33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33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customFormat="false" ht="33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33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33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33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33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33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33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customFormat="false" ht="33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33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33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false" ht="33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customFormat="false" ht="33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customFormat="false" ht="33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customFormat="false" ht="33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33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customFormat="false" ht="33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customFormat="false" ht="3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customFormat="false" ht="33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customFormat="false" ht="33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customFormat="false" ht="33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33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3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33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33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autoFilter ref="A2:K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24"/>
  </cols>
  <sheetData>
    <row r="1" customFormat="false" ht="33.75" hidden="false" customHeight="true" outlineLevel="0" collapsed="false">
      <c r="A1" s="2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3.75" hidden="false" customHeight="true" outlineLevel="0" collapsed="false">
      <c r="A2" s="3" t="s">
        <v>127</v>
      </c>
      <c r="B2" s="3" t="s">
        <v>154</v>
      </c>
      <c r="C2" s="3" t="s">
        <v>155</v>
      </c>
      <c r="D2" s="3" t="s">
        <v>156</v>
      </c>
      <c r="E2" s="3" t="s">
        <v>157</v>
      </c>
      <c r="F2" s="3" t="s">
        <v>158</v>
      </c>
      <c r="G2" s="3" t="s">
        <v>159</v>
      </c>
      <c r="H2" s="3" t="s">
        <v>160</v>
      </c>
      <c r="I2" s="3" t="s">
        <v>161</v>
      </c>
      <c r="J2" s="3" t="s">
        <v>162</v>
      </c>
      <c r="K2" s="3" t="s">
        <v>98</v>
      </c>
    </row>
    <row r="3" customFormat="false" ht="33.75" hidden="false" customHeight="true" outlineLevel="0" collapsed="false">
      <c r="A3" s="1"/>
      <c r="B3" s="1"/>
      <c r="C3" s="1"/>
      <c r="D3" s="1"/>
      <c r="E3" s="4"/>
      <c r="F3" s="4"/>
      <c r="G3" s="6" t="str">
        <f aca="false">IF(E3="","",E3-F3)</f>
        <v/>
      </c>
      <c r="H3" s="1"/>
      <c r="I3" s="1"/>
      <c r="J3" s="1"/>
      <c r="K3" s="1"/>
    </row>
    <row r="4" customFormat="false" ht="33.75" hidden="false" customHeight="true" outlineLevel="0" collapsed="false">
      <c r="A4" s="1"/>
      <c r="B4" s="1"/>
      <c r="C4" s="1"/>
      <c r="D4" s="1"/>
      <c r="E4" s="4"/>
      <c r="F4" s="4"/>
      <c r="G4" s="6" t="str">
        <f aca="false">IF(E4="","",E4-F4)</f>
        <v/>
      </c>
      <c r="H4" s="1"/>
      <c r="I4" s="1"/>
      <c r="J4" s="1"/>
      <c r="K4" s="1"/>
    </row>
    <row r="5" customFormat="false" ht="33.75" hidden="false" customHeight="true" outlineLevel="0" collapsed="false">
      <c r="A5" s="1"/>
      <c r="B5" s="1"/>
      <c r="C5" s="1"/>
      <c r="D5" s="1"/>
      <c r="E5" s="4"/>
      <c r="F5" s="4"/>
      <c r="G5" s="6" t="str">
        <f aca="false">IF(E5="","",E5-F5)</f>
        <v/>
      </c>
      <c r="H5" s="1"/>
      <c r="I5" s="1"/>
      <c r="J5" s="1"/>
      <c r="K5" s="1"/>
    </row>
    <row r="6" customFormat="false" ht="33.75" hidden="false" customHeight="true" outlineLevel="0" collapsed="false">
      <c r="A6" s="1"/>
      <c r="B6" s="1"/>
      <c r="C6" s="1"/>
      <c r="D6" s="1"/>
      <c r="E6" s="4"/>
      <c r="F6" s="4"/>
      <c r="G6" s="6" t="str">
        <f aca="false">IF(E6="","",E6-F6)</f>
        <v/>
      </c>
      <c r="H6" s="1"/>
      <c r="I6" s="1"/>
      <c r="J6" s="1"/>
      <c r="K6" s="1"/>
    </row>
    <row r="7" customFormat="false" ht="33.75" hidden="false" customHeight="true" outlineLevel="0" collapsed="false">
      <c r="A7" s="1"/>
      <c r="B7" s="1"/>
      <c r="C7" s="1"/>
      <c r="D7" s="1"/>
      <c r="E7" s="4"/>
      <c r="F7" s="4"/>
      <c r="G7" s="6" t="str">
        <f aca="false">IF(E7="","",E7-F7)</f>
        <v/>
      </c>
      <c r="H7" s="1"/>
      <c r="I7" s="1"/>
      <c r="J7" s="1"/>
      <c r="K7" s="1"/>
    </row>
    <row r="8" customFormat="false" ht="33.75" hidden="false" customHeight="true" outlineLevel="0" collapsed="false">
      <c r="A8" s="1"/>
      <c r="B8" s="1"/>
      <c r="C8" s="1"/>
      <c r="D8" s="1"/>
      <c r="E8" s="4"/>
      <c r="F8" s="4"/>
      <c r="G8" s="6" t="str">
        <f aca="false">IF(E8="","",E8-F8)</f>
        <v/>
      </c>
      <c r="H8" s="1"/>
      <c r="I8" s="1"/>
      <c r="J8" s="1"/>
      <c r="K8" s="1"/>
    </row>
    <row r="9" customFormat="false" ht="33.75" hidden="false" customHeight="true" outlineLevel="0" collapsed="false">
      <c r="A9" s="1"/>
      <c r="B9" s="1"/>
      <c r="C9" s="1"/>
      <c r="D9" s="1"/>
      <c r="E9" s="4"/>
      <c r="F9" s="4"/>
      <c r="G9" s="6" t="str">
        <f aca="false">IF(E9="","",E9-F9)</f>
        <v/>
      </c>
      <c r="H9" s="1"/>
      <c r="I9" s="1"/>
      <c r="J9" s="1"/>
      <c r="K9" s="1"/>
    </row>
    <row r="10" customFormat="false" ht="33.75" hidden="false" customHeight="true" outlineLevel="0" collapsed="false">
      <c r="A10" s="1"/>
      <c r="B10" s="1"/>
      <c r="C10" s="1"/>
      <c r="D10" s="1"/>
      <c r="E10" s="4"/>
      <c r="F10" s="4"/>
      <c r="G10" s="6" t="str">
        <f aca="false">IF(E10="","",E10-F10)</f>
        <v/>
      </c>
      <c r="H10" s="1"/>
      <c r="I10" s="1"/>
      <c r="J10" s="1"/>
      <c r="K10" s="1"/>
    </row>
    <row r="11" customFormat="false" ht="33.75" hidden="false" customHeight="true" outlineLevel="0" collapsed="false">
      <c r="A11" s="1"/>
      <c r="B11" s="1"/>
      <c r="C11" s="1"/>
      <c r="D11" s="1"/>
      <c r="E11" s="4"/>
      <c r="F11" s="4"/>
      <c r="G11" s="6" t="str">
        <f aca="false">IF(E11="","",E11-F11)</f>
        <v/>
      </c>
      <c r="H11" s="1"/>
      <c r="I11" s="1"/>
      <c r="J11" s="1"/>
      <c r="K11" s="1"/>
    </row>
    <row r="12" customFormat="false" ht="33.75" hidden="false" customHeight="true" outlineLevel="0" collapsed="false">
      <c r="A12" s="1"/>
      <c r="B12" s="1"/>
      <c r="C12" s="1"/>
      <c r="D12" s="1"/>
      <c r="E12" s="4"/>
      <c r="F12" s="4"/>
      <c r="G12" s="6" t="str">
        <f aca="false">IF(E12="","",E12-F12)</f>
        <v/>
      </c>
      <c r="H12" s="1"/>
      <c r="I12" s="1"/>
      <c r="J12" s="1"/>
      <c r="K12" s="1"/>
    </row>
    <row r="13" customFormat="false" ht="33.75" hidden="false" customHeight="true" outlineLevel="0" collapsed="false">
      <c r="A13" s="1"/>
      <c r="B13" s="1"/>
      <c r="C13" s="1"/>
      <c r="D13" s="1"/>
      <c r="E13" s="4"/>
      <c r="F13" s="4"/>
      <c r="G13" s="6" t="str">
        <f aca="false">IF(E13="","",E13-F13)</f>
        <v/>
      </c>
      <c r="H13" s="1"/>
      <c r="I13" s="1"/>
      <c r="J13" s="1"/>
      <c r="K13" s="1"/>
    </row>
    <row r="14" customFormat="false" ht="33.75" hidden="false" customHeight="true" outlineLevel="0" collapsed="false">
      <c r="A14" s="1"/>
      <c r="B14" s="1"/>
      <c r="C14" s="1"/>
      <c r="D14" s="1"/>
      <c r="E14" s="4"/>
      <c r="F14" s="4"/>
      <c r="G14" s="6" t="str">
        <f aca="false">IF(E14="","",E14-F14)</f>
        <v/>
      </c>
      <c r="H14" s="1"/>
      <c r="I14" s="1"/>
      <c r="J14" s="1"/>
      <c r="K14" s="1"/>
    </row>
    <row r="15" customFormat="false" ht="33.75" hidden="false" customHeight="true" outlineLevel="0" collapsed="false">
      <c r="A15" s="1"/>
      <c r="B15" s="1"/>
      <c r="C15" s="1"/>
      <c r="D15" s="1"/>
      <c r="E15" s="4"/>
      <c r="F15" s="4"/>
      <c r="G15" s="6" t="str">
        <f aca="false">IF(E15="","",E15-F15)</f>
        <v/>
      </c>
      <c r="H15" s="1"/>
      <c r="I15" s="1"/>
      <c r="J15" s="1"/>
      <c r="K15" s="1"/>
    </row>
    <row r="16" customFormat="false" ht="33.75" hidden="false" customHeight="true" outlineLevel="0" collapsed="false">
      <c r="A16" s="1"/>
      <c r="B16" s="1"/>
      <c r="C16" s="1"/>
      <c r="D16" s="1"/>
      <c r="E16" s="4"/>
      <c r="F16" s="4"/>
      <c r="G16" s="6" t="str">
        <f aca="false">IF(E16="","",E16-F16)</f>
        <v/>
      </c>
      <c r="H16" s="1"/>
      <c r="I16" s="1"/>
      <c r="J16" s="1"/>
      <c r="K16" s="1"/>
    </row>
    <row r="17" customFormat="false" ht="33.75" hidden="false" customHeight="true" outlineLevel="0" collapsed="false">
      <c r="A17" s="1"/>
      <c r="B17" s="1"/>
      <c r="C17" s="1"/>
      <c r="D17" s="1"/>
      <c r="E17" s="4"/>
      <c r="F17" s="4"/>
      <c r="G17" s="6" t="str">
        <f aca="false">IF(E17="","",E17-F17)</f>
        <v/>
      </c>
      <c r="H17" s="1"/>
      <c r="I17" s="1"/>
      <c r="J17" s="1"/>
      <c r="K17" s="1"/>
    </row>
    <row r="18" customFormat="false" ht="33.75" hidden="false" customHeight="true" outlineLevel="0" collapsed="false">
      <c r="A18" s="1"/>
      <c r="B18" s="1"/>
      <c r="C18" s="1"/>
      <c r="D18" s="1"/>
      <c r="E18" s="4"/>
      <c r="F18" s="4"/>
      <c r="G18" s="6" t="str">
        <f aca="false">IF(E18="","",E18-F18)</f>
        <v/>
      </c>
      <c r="H18" s="1"/>
      <c r="I18" s="1"/>
      <c r="J18" s="1"/>
      <c r="K18" s="1"/>
    </row>
    <row r="19" customFormat="false" ht="33.75" hidden="false" customHeight="true" outlineLevel="0" collapsed="false">
      <c r="A19" s="1"/>
      <c r="B19" s="1"/>
      <c r="C19" s="1"/>
      <c r="D19" s="1"/>
      <c r="E19" s="4"/>
      <c r="F19" s="4"/>
      <c r="G19" s="6" t="str">
        <f aca="false">IF(E19="","",E19-F19)</f>
        <v/>
      </c>
      <c r="H19" s="1"/>
      <c r="I19" s="1"/>
      <c r="J19" s="1"/>
      <c r="K19" s="1"/>
    </row>
    <row r="20" customFormat="false" ht="33.75" hidden="false" customHeight="true" outlineLevel="0" collapsed="false">
      <c r="A20" s="1"/>
      <c r="B20" s="1"/>
      <c r="C20" s="1"/>
      <c r="D20" s="1"/>
      <c r="E20" s="4"/>
      <c r="F20" s="4"/>
      <c r="G20" s="6" t="str">
        <f aca="false">IF(E20="","",E20-F20)</f>
        <v/>
      </c>
      <c r="H20" s="1"/>
      <c r="I20" s="1"/>
      <c r="J20" s="1"/>
      <c r="K20" s="1"/>
    </row>
    <row r="21" customFormat="false" ht="33.75" hidden="false" customHeight="true" outlineLevel="0" collapsed="false">
      <c r="A21" s="1"/>
      <c r="B21" s="1"/>
      <c r="C21" s="1"/>
      <c r="D21" s="1"/>
      <c r="E21" s="4"/>
      <c r="F21" s="4"/>
      <c r="G21" s="6" t="str">
        <f aca="false">IF(E21="","",E21-F21)</f>
        <v/>
      </c>
      <c r="H21" s="1"/>
      <c r="I21" s="1"/>
      <c r="J21" s="1"/>
      <c r="K21" s="1"/>
    </row>
    <row r="22" customFormat="false" ht="33.75" hidden="false" customHeight="true" outlineLevel="0" collapsed="false">
      <c r="A22" s="1"/>
      <c r="B22" s="1"/>
      <c r="C22" s="1"/>
      <c r="D22" s="1"/>
      <c r="E22" s="4"/>
      <c r="F22" s="4"/>
      <c r="G22" s="6" t="str">
        <f aca="false">IF(E22="","",E22-F22)</f>
        <v/>
      </c>
      <c r="H22" s="1"/>
      <c r="I22" s="1"/>
      <c r="J22" s="1"/>
      <c r="K22" s="1"/>
    </row>
    <row r="23" customFormat="false" ht="33.75" hidden="false" customHeight="true" outlineLevel="0" collapsed="false">
      <c r="A23" s="1"/>
      <c r="B23" s="1"/>
      <c r="C23" s="1"/>
      <c r="D23" s="1"/>
      <c r="E23" s="4"/>
      <c r="F23" s="4"/>
      <c r="G23" s="6" t="str">
        <f aca="false">IF(E23="","",E23-F23)</f>
        <v/>
      </c>
      <c r="H23" s="1"/>
      <c r="I23" s="1"/>
      <c r="J23" s="1"/>
      <c r="K23" s="1"/>
    </row>
    <row r="24" customFormat="false" ht="33.75" hidden="false" customHeight="true" outlineLevel="0" collapsed="false">
      <c r="A24" s="1"/>
      <c r="B24" s="1"/>
      <c r="C24" s="1"/>
      <c r="D24" s="1"/>
      <c r="E24" s="4"/>
      <c r="F24" s="4"/>
      <c r="G24" s="6" t="str">
        <f aca="false">IF(E24="","",E24-F24)</f>
        <v/>
      </c>
      <c r="H24" s="1"/>
      <c r="I24" s="1"/>
      <c r="J24" s="1"/>
      <c r="K24" s="1"/>
    </row>
    <row r="25" customFormat="false" ht="33.75" hidden="false" customHeight="true" outlineLevel="0" collapsed="false">
      <c r="A25" s="1"/>
      <c r="B25" s="1"/>
      <c r="C25" s="1"/>
      <c r="D25" s="1"/>
      <c r="E25" s="4"/>
      <c r="F25" s="4"/>
      <c r="G25" s="6" t="str">
        <f aca="false">IF(E25="","",E25-F25)</f>
        <v/>
      </c>
      <c r="H25" s="1"/>
      <c r="I25" s="1"/>
      <c r="J25" s="1"/>
      <c r="K25" s="1"/>
    </row>
    <row r="26" customFormat="false" ht="33.75" hidden="false" customHeight="true" outlineLevel="0" collapsed="false">
      <c r="A26" s="1"/>
      <c r="B26" s="1"/>
      <c r="C26" s="1"/>
      <c r="D26" s="1"/>
      <c r="E26" s="4"/>
      <c r="F26" s="4"/>
      <c r="G26" s="6" t="str">
        <f aca="false">IF(E26="","",E26-F26)</f>
        <v/>
      </c>
      <c r="H26" s="1"/>
      <c r="I26" s="1"/>
      <c r="J26" s="1"/>
      <c r="K26" s="1"/>
    </row>
    <row r="27" customFormat="false" ht="33.75" hidden="false" customHeight="true" outlineLevel="0" collapsed="false">
      <c r="A27" s="1"/>
      <c r="B27" s="1"/>
      <c r="C27" s="1"/>
      <c r="D27" s="1"/>
      <c r="E27" s="4"/>
      <c r="F27" s="4"/>
      <c r="G27" s="6" t="str">
        <f aca="false">IF(E27="","",E27-F27)</f>
        <v/>
      </c>
      <c r="H27" s="1"/>
      <c r="I27" s="1"/>
      <c r="J27" s="1"/>
      <c r="K27" s="1"/>
    </row>
    <row r="28" customFormat="false" ht="33.75" hidden="false" customHeight="true" outlineLevel="0" collapsed="false">
      <c r="A28" s="1"/>
      <c r="B28" s="1"/>
      <c r="C28" s="1"/>
      <c r="D28" s="1"/>
      <c r="E28" s="4"/>
      <c r="F28" s="4"/>
      <c r="G28" s="6" t="str">
        <f aca="false">IF(E28="","",E28-F28)</f>
        <v/>
      </c>
      <c r="H28" s="1"/>
      <c r="I28" s="1"/>
      <c r="J28" s="1"/>
      <c r="K28" s="1"/>
    </row>
    <row r="29" customFormat="false" ht="33.75" hidden="false" customHeight="true" outlineLevel="0" collapsed="false">
      <c r="A29" s="1"/>
      <c r="B29" s="1"/>
      <c r="C29" s="1"/>
      <c r="D29" s="1"/>
      <c r="E29" s="4"/>
      <c r="F29" s="4"/>
      <c r="G29" s="6" t="str">
        <f aca="false">IF(E29="","",E29-F29)</f>
        <v/>
      </c>
      <c r="H29" s="1"/>
      <c r="I29" s="1"/>
      <c r="J29" s="1"/>
      <c r="K29" s="1"/>
    </row>
    <row r="30" customFormat="false" ht="33.75" hidden="false" customHeight="true" outlineLevel="0" collapsed="false">
      <c r="A30" s="1"/>
      <c r="B30" s="1"/>
      <c r="C30" s="1"/>
      <c r="D30" s="1"/>
      <c r="E30" s="4"/>
      <c r="F30" s="4"/>
      <c r="G30" s="6" t="str">
        <f aca="false">IF(E30="","",E30-F30)</f>
        <v/>
      </c>
      <c r="H30" s="1"/>
      <c r="I30" s="1"/>
      <c r="J30" s="1"/>
      <c r="K30" s="1"/>
    </row>
    <row r="31" customFormat="false" ht="33.75" hidden="false" customHeight="true" outlineLevel="0" collapsed="false">
      <c r="A31" s="1"/>
      <c r="B31" s="1"/>
      <c r="C31" s="1"/>
      <c r="D31" s="1"/>
      <c r="E31" s="4"/>
      <c r="F31" s="4"/>
      <c r="G31" s="6" t="str">
        <f aca="false">IF(E31="","",E31-F31)</f>
        <v/>
      </c>
      <c r="H31" s="1"/>
      <c r="I31" s="1"/>
      <c r="J31" s="1"/>
      <c r="K31" s="1"/>
    </row>
    <row r="32" customFormat="false" ht="33.75" hidden="false" customHeight="true" outlineLevel="0" collapsed="false">
      <c r="A32" s="1"/>
      <c r="B32" s="1"/>
      <c r="C32" s="1"/>
      <c r="D32" s="1"/>
      <c r="E32" s="4"/>
      <c r="F32" s="4"/>
      <c r="G32" s="6" t="str">
        <f aca="false">IF(E32="","",E32-F32)</f>
        <v/>
      </c>
      <c r="H32" s="1"/>
      <c r="I32" s="1"/>
      <c r="J32" s="1"/>
      <c r="K32" s="1"/>
    </row>
  </sheetData>
  <autoFilter ref="A2:K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24"/>
  </cols>
  <sheetData>
    <row r="1" customFormat="false" ht="33.75" hidden="false" customHeight="true" outlineLevel="0" collapsed="false">
      <c r="A1" s="2" t="s">
        <v>163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3.75" hidden="false" customHeight="true" outlineLevel="0" collapsed="false">
      <c r="A2" s="3" t="s">
        <v>126</v>
      </c>
      <c r="B2" s="3" t="s">
        <v>164</v>
      </c>
      <c r="C2" s="3" t="s">
        <v>165</v>
      </c>
      <c r="D2" s="3" t="s">
        <v>36</v>
      </c>
      <c r="E2" s="3" t="s">
        <v>37</v>
      </c>
      <c r="F2" s="3" t="s">
        <v>166</v>
      </c>
      <c r="G2" s="3" t="s">
        <v>167</v>
      </c>
      <c r="H2" s="3" t="s">
        <v>146</v>
      </c>
      <c r="I2" s="3" t="s">
        <v>168</v>
      </c>
      <c r="J2" s="3" t="s">
        <v>98</v>
      </c>
    </row>
    <row r="3" customFormat="false" ht="33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33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33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33.7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33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33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33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33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33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33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33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33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33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33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33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33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33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33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33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33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33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33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3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33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33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33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33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3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33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33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autoFilter ref="A2:J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24"/>
  </cols>
  <sheetData>
    <row r="1" customFormat="false" ht="33.75" hidden="false" customHeight="true" outlineLevel="0" collapsed="false">
      <c r="A1" s="2" t="s">
        <v>169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3.75" hidden="false" customHeight="true" outlineLevel="0" collapsed="false">
      <c r="A2" s="3" t="s">
        <v>165</v>
      </c>
      <c r="B2" s="3" t="s">
        <v>36</v>
      </c>
      <c r="C2" s="3" t="s">
        <v>37</v>
      </c>
      <c r="D2" s="3" t="s">
        <v>170</v>
      </c>
      <c r="E2" s="3" t="s">
        <v>171</v>
      </c>
      <c r="F2" s="3" t="s">
        <v>172</v>
      </c>
      <c r="G2" s="3" t="s">
        <v>173</v>
      </c>
      <c r="H2" s="3" t="s">
        <v>174</v>
      </c>
      <c r="I2" s="3" t="s">
        <v>175</v>
      </c>
      <c r="J2" s="3" t="s">
        <v>176</v>
      </c>
    </row>
    <row r="3" customFormat="false" ht="33.75" hidden="false" customHeight="true" outlineLevel="0" collapsed="false">
      <c r="A3" s="1"/>
      <c r="B3" s="1"/>
      <c r="C3" s="1"/>
      <c r="D3" s="4"/>
      <c r="E3" s="4"/>
      <c r="F3" s="6" t="str">
        <f aca="false">IF(OR(D3="",E3=""),"",E3-D3)</f>
        <v/>
      </c>
      <c r="G3" s="4"/>
      <c r="H3" s="6" t="str">
        <f aca="false">IF(OR(F3="",G3=""),"",F3*G3)</f>
        <v/>
      </c>
      <c r="I3" s="1"/>
      <c r="J3" s="1"/>
    </row>
    <row r="4" customFormat="false" ht="33.75" hidden="false" customHeight="true" outlineLevel="0" collapsed="false">
      <c r="A4" s="1"/>
      <c r="B4" s="1"/>
      <c r="C4" s="1"/>
      <c r="D4" s="4"/>
      <c r="E4" s="4"/>
      <c r="F4" s="6" t="str">
        <f aca="false">IF(OR(D4="",E4=""),"",E4-D4)</f>
        <v/>
      </c>
      <c r="G4" s="4"/>
      <c r="H4" s="6" t="str">
        <f aca="false">IF(OR(F4="",G4=""),"",F4*G4)</f>
        <v/>
      </c>
      <c r="I4" s="1"/>
      <c r="J4" s="1"/>
    </row>
    <row r="5" customFormat="false" ht="33.75" hidden="false" customHeight="true" outlineLevel="0" collapsed="false">
      <c r="A5" s="1"/>
      <c r="B5" s="1"/>
      <c r="C5" s="1"/>
      <c r="D5" s="4"/>
      <c r="E5" s="4"/>
      <c r="F5" s="6" t="str">
        <f aca="false">IF(OR(D5="",E5=""),"",E5-D5)</f>
        <v/>
      </c>
      <c r="G5" s="4"/>
      <c r="H5" s="6" t="str">
        <f aca="false">IF(OR(F5="",G5=""),"",F5*G5)</f>
        <v/>
      </c>
      <c r="I5" s="1"/>
      <c r="J5" s="1"/>
    </row>
    <row r="6" customFormat="false" ht="33.75" hidden="false" customHeight="true" outlineLevel="0" collapsed="false">
      <c r="A6" s="1"/>
      <c r="B6" s="1"/>
      <c r="C6" s="1"/>
      <c r="D6" s="4"/>
      <c r="E6" s="4"/>
      <c r="F6" s="6" t="str">
        <f aca="false">IF(OR(D6="",E6=""),"",E6-D6)</f>
        <v/>
      </c>
      <c r="G6" s="4"/>
      <c r="H6" s="6" t="str">
        <f aca="false">IF(OR(F6="",G6=""),"",F6*G6)</f>
        <v/>
      </c>
      <c r="I6" s="1"/>
      <c r="J6" s="1"/>
    </row>
    <row r="7" customFormat="false" ht="33.75" hidden="false" customHeight="true" outlineLevel="0" collapsed="false">
      <c r="A7" s="1"/>
      <c r="B7" s="1"/>
      <c r="C7" s="1"/>
      <c r="D7" s="4"/>
      <c r="E7" s="4"/>
      <c r="F7" s="6" t="str">
        <f aca="false">IF(OR(D7="",E7=""),"",E7-D7)</f>
        <v/>
      </c>
      <c r="G7" s="4"/>
      <c r="H7" s="6" t="str">
        <f aca="false">IF(OR(F7="",G7=""),"",F7*G7)</f>
        <v/>
      </c>
      <c r="I7" s="1"/>
      <c r="J7" s="1"/>
    </row>
    <row r="8" customFormat="false" ht="33.75" hidden="false" customHeight="true" outlineLevel="0" collapsed="false">
      <c r="A8" s="1"/>
      <c r="B8" s="1"/>
      <c r="C8" s="1"/>
      <c r="D8" s="4"/>
      <c r="E8" s="4"/>
      <c r="F8" s="6" t="str">
        <f aca="false">IF(OR(D8="",E8=""),"",E8-D8)</f>
        <v/>
      </c>
      <c r="G8" s="4"/>
      <c r="H8" s="6" t="str">
        <f aca="false">IF(OR(F8="",G8=""),"",F8*G8)</f>
        <v/>
      </c>
      <c r="I8" s="1"/>
      <c r="J8" s="1"/>
    </row>
    <row r="9" customFormat="false" ht="33.75" hidden="false" customHeight="true" outlineLevel="0" collapsed="false">
      <c r="A9" s="1"/>
      <c r="B9" s="1"/>
      <c r="C9" s="1"/>
      <c r="D9" s="4"/>
      <c r="E9" s="4"/>
      <c r="F9" s="6" t="str">
        <f aca="false">IF(OR(D9="",E9=""),"",E9-D9)</f>
        <v/>
      </c>
      <c r="G9" s="4"/>
      <c r="H9" s="6" t="str">
        <f aca="false">IF(OR(F9="",G9=""),"",F9*G9)</f>
        <v/>
      </c>
      <c r="I9" s="1"/>
      <c r="J9" s="1"/>
    </row>
    <row r="10" customFormat="false" ht="33.75" hidden="false" customHeight="true" outlineLevel="0" collapsed="false">
      <c r="A10" s="1"/>
      <c r="B10" s="1"/>
      <c r="C10" s="1"/>
      <c r="D10" s="4"/>
      <c r="E10" s="4"/>
      <c r="F10" s="6" t="str">
        <f aca="false">IF(OR(D10="",E10=""),"",E10-D10)</f>
        <v/>
      </c>
      <c r="G10" s="4"/>
      <c r="H10" s="6" t="str">
        <f aca="false">IF(OR(F10="",G10=""),"",F10*G10)</f>
        <v/>
      </c>
      <c r="I10" s="1"/>
      <c r="J10" s="1"/>
    </row>
    <row r="11" customFormat="false" ht="33.75" hidden="false" customHeight="true" outlineLevel="0" collapsed="false">
      <c r="A11" s="1"/>
      <c r="B11" s="1"/>
      <c r="C11" s="1"/>
      <c r="D11" s="4"/>
      <c r="E11" s="4"/>
      <c r="F11" s="6" t="str">
        <f aca="false">IF(OR(D11="",E11=""),"",E11-D11)</f>
        <v/>
      </c>
      <c r="G11" s="4"/>
      <c r="H11" s="6" t="str">
        <f aca="false">IF(OR(F11="",G11=""),"",F11*G11)</f>
        <v/>
      </c>
      <c r="I11" s="1"/>
      <c r="J11" s="1"/>
    </row>
    <row r="12" customFormat="false" ht="33.75" hidden="false" customHeight="true" outlineLevel="0" collapsed="false">
      <c r="A12" s="1"/>
      <c r="B12" s="1"/>
      <c r="C12" s="1"/>
      <c r="D12" s="4"/>
      <c r="E12" s="4"/>
      <c r="F12" s="6" t="str">
        <f aca="false">IF(OR(D12="",E12=""),"",E12-D12)</f>
        <v/>
      </c>
      <c r="G12" s="4"/>
      <c r="H12" s="6" t="str">
        <f aca="false">IF(OR(F12="",G12=""),"",F12*G12)</f>
        <v/>
      </c>
      <c r="I12" s="1"/>
      <c r="J12" s="1"/>
    </row>
    <row r="13" customFormat="false" ht="33.75" hidden="false" customHeight="true" outlineLevel="0" collapsed="false">
      <c r="A13" s="1"/>
      <c r="B13" s="1"/>
      <c r="C13" s="1"/>
      <c r="D13" s="4"/>
      <c r="E13" s="4"/>
      <c r="F13" s="6" t="str">
        <f aca="false">IF(OR(D13="",E13=""),"",E13-D13)</f>
        <v/>
      </c>
      <c r="G13" s="4"/>
      <c r="H13" s="6" t="str">
        <f aca="false">IF(OR(F13="",G13=""),"",F13*G13)</f>
        <v/>
      </c>
      <c r="I13" s="1"/>
      <c r="J13" s="1"/>
    </row>
    <row r="14" customFormat="false" ht="33.75" hidden="false" customHeight="true" outlineLevel="0" collapsed="false">
      <c r="A14" s="1"/>
      <c r="B14" s="1"/>
      <c r="C14" s="1"/>
      <c r="D14" s="4"/>
      <c r="E14" s="4"/>
      <c r="F14" s="6" t="str">
        <f aca="false">IF(OR(D14="",E14=""),"",E14-D14)</f>
        <v/>
      </c>
      <c r="G14" s="4"/>
      <c r="H14" s="6" t="str">
        <f aca="false">IF(OR(F14="",G14=""),"",F14*G14)</f>
        <v/>
      </c>
      <c r="I14" s="1"/>
      <c r="J14" s="1"/>
    </row>
    <row r="15" customFormat="false" ht="33.75" hidden="false" customHeight="true" outlineLevel="0" collapsed="false">
      <c r="A15" s="1"/>
      <c r="B15" s="1"/>
      <c r="C15" s="1"/>
      <c r="D15" s="4"/>
      <c r="E15" s="4"/>
      <c r="F15" s="6" t="str">
        <f aca="false">IF(OR(D15="",E15=""),"",E15-D15)</f>
        <v/>
      </c>
      <c r="G15" s="4"/>
      <c r="H15" s="6" t="str">
        <f aca="false">IF(OR(F15="",G15=""),"",F15*G15)</f>
        <v/>
      </c>
      <c r="I15" s="1"/>
      <c r="J15" s="1"/>
    </row>
    <row r="16" customFormat="false" ht="33.75" hidden="false" customHeight="true" outlineLevel="0" collapsed="false">
      <c r="A16" s="1"/>
      <c r="B16" s="1"/>
      <c r="C16" s="1"/>
      <c r="D16" s="4"/>
      <c r="E16" s="4"/>
      <c r="F16" s="6" t="str">
        <f aca="false">IF(OR(D16="",E16=""),"",E16-D16)</f>
        <v/>
      </c>
      <c r="G16" s="4"/>
      <c r="H16" s="6" t="str">
        <f aca="false">IF(OR(F16="",G16=""),"",F16*G16)</f>
        <v/>
      </c>
      <c r="I16" s="1"/>
      <c r="J16" s="1"/>
    </row>
    <row r="17" customFormat="false" ht="33.75" hidden="false" customHeight="true" outlineLevel="0" collapsed="false">
      <c r="A17" s="1"/>
      <c r="B17" s="1"/>
      <c r="C17" s="1"/>
      <c r="D17" s="4"/>
      <c r="E17" s="4"/>
      <c r="F17" s="6" t="str">
        <f aca="false">IF(OR(D17="",E17=""),"",E17-D17)</f>
        <v/>
      </c>
      <c r="G17" s="4"/>
      <c r="H17" s="6" t="str">
        <f aca="false">IF(OR(F17="",G17=""),"",F17*G17)</f>
        <v/>
      </c>
      <c r="I17" s="1"/>
      <c r="J17" s="1"/>
    </row>
    <row r="18" customFormat="false" ht="33.75" hidden="false" customHeight="true" outlineLevel="0" collapsed="false">
      <c r="A18" s="1"/>
      <c r="B18" s="1"/>
      <c r="C18" s="1"/>
      <c r="D18" s="4"/>
      <c r="E18" s="4"/>
      <c r="F18" s="6" t="str">
        <f aca="false">IF(OR(D18="",E18=""),"",E18-D18)</f>
        <v/>
      </c>
      <c r="G18" s="4"/>
      <c r="H18" s="6" t="str">
        <f aca="false">IF(OR(F18="",G18=""),"",F18*G18)</f>
        <v/>
      </c>
      <c r="I18" s="1"/>
      <c r="J18" s="1"/>
    </row>
    <row r="19" customFormat="false" ht="33.75" hidden="false" customHeight="true" outlineLevel="0" collapsed="false">
      <c r="A19" s="1"/>
      <c r="B19" s="1"/>
      <c r="C19" s="1"/>
      <c r="D19" s="4"/>
      <c r="E19" s="4"/>
      <c r="F19" s="6" t="str">
        <f aca="false">IF(OR(D19="",E19=""),"",E19-D19)</f>
        <v/>
      </c>
      <c r="G19" s="4"/>
      <c r="H19" s="6" t="str">
        <f aca="false">IF(OR(F19="",G19=""),"",F19*G19)</f>
        <v/>
      </c>
      <c r="I19" s="1"/>
      <c r="J19" s="1"/>
    </row>
    <row r="20" customFormat="false" ht="33.75" hidden="false" customHeight="true" outlineLevel="0" collapsed="false">
      <c r="A20" s="1"/>
      <c r="B20" s="1"/>
      <c r="C20" s="1"/>
      <c r="D20" s="4"/>
      <c r="E20" s="4"/>
      <c r="F20" s="6" t="str">
        <f aca="false">IF(OR(D20="",E20=""),"",E20-D20)</f>
        <v/>
      </c>
      <c r="G20" s="4"/>
      <c r="H20" s="6" t="str">
        <f aca="false">IF(OR(F20="",G20=""),"",F20*G20)</f>
        <v/>
      </c>
      <c r="I20" s="1"/>
      <c r="J20" s="1"/>
    </row>
    <row r="21" customFormat="false" ht="33.75" hidden="false" customHeight="true" outlineLevel="0" collapsed="false">
      <c r="A21" s="1"/>
      <c r="B21" s="1"/>
      <c r="C21" s="1"/>
      <c r="D21" s="4"/>
      <c r="E21" s="4"/>
      <c r="F21" s="6" t="str">
        <f aca="false">IF(OR(D21="",E21=""),"",E21-D21)</f>
        <v/>
      </c>
      <c r="G21" s="4"/>
      <c r="H21" s="6" t="str">
        <f aca="false">IF(OR(F21="",G21=""),"",F21*G21)</f>
        <v/>
      </c>
      <c r="I21" s="1"/>
      <c r="J21" s="1"/>
    </row>
    <row r="22" customFormat="false" ht="33.75" hidden="false" customHeight="true" outlineLevel="0" collapsed="false">
      <c r="A22" s="1"/>
      <c r="B22" s="1"/>
      <c r="C22" s="1"/>
      <c r="D22" s="4"/>
      <c r="E22" s="4"/>
      <c r="F22" s="6" t="str">
        <f aca="false">IF(OR(D22="",E22=""),"",E22-D22)</f>
        <v/>
      </c>
      <c r="G22" s="4"/>
      <c r="H22" s="6" t="str">
        <f aca="false">IF(OR(F22="",G22=""),"",F22*G22)</f>
        <v/>
      </c>
      <c r="I22" s="1"/>
      <c r="J22" s="1"/>
    </row>
    <row r="23" customFormat="false" ht="33.75" hidden="false" customHeight="true" outlineLevel="0" collapsed="false">
      <c r="A23" s="1"/>
      <c r="B23" s="1"/>
      <c r="C23" s="1"/>
      <c r="D23" s="4"/>
      <c r="E23" s="4"/>
      <c r="F23" s="6" t="str">
        <f aca="false">IF(OR(D23="",E23=""),"",E23-D23)</f>
        <v/>
      </c>
      <c r="G23" s="4"/>
      <c r="H23" s="6" t="str">
        <f aca="false">IF(OR(F23="",G23=""),"",F23*G23)</f>
        <v/>
      </c>
      <c r="I23" s="1"/>
      <c r="J23" s="1"/>
    </row>
    <row r="24" customFormat="false" ht="33.75" hidden="false" customHeight="true" outlineLevel="0" collapsed="false">
      <c r="A24" s="1"/>
      <c r="B24" s="1"/>
      <c r="C24" s="1"/>
      <c r="D24" s="4"/>
      <c r="E24" s="4"/>
      <c r="F24" s="6" t="str">
        <f aca="false">IF(OR(D24="",E24=""),"",E24-D24)</f>
        <v/>
      </c>
      <c r="G24" s="4"/>
      <c r="H24" s="6" t="str">
        <f aca="false">IF(OR(F24="",G24=""),"",F24*G24)</f>
        <v/>
      </c>
      <c r="I24" s="1"/>
      <c r="J24" s="1"/>
    </row>
    <row r="25" customFormat="false" ht="33.75" hidden="false" customHeight="true" outlineLevel="0" collapsed="false">
      <c r="A25" s="1"/>
      <c r="B25" s="1"/>
      <c r="C25" s="1"/>
      <c r="D25" s="4"/>
      <c r="E25" s="4"/>
      <c r="F25" s="6" t="str">
        <f aca="false">IF(OR(D25="",E25=""),"",E25-D25)</f>
        <v/>
      </c>
      <c r="G25" s="4"/>
      <c r="H25" s="6" t="str">
        <f aca="false">IF(OR(F25="",G25=""),"",F25*G25)</f>
        <v/>
      </c>
      <c r="I25" s="1"/>
      <c r="J25" s="1"/>
    </row>
    <row r="26" customFormat="false" ht="33.75" hidden="false" customHeight="true" outlineLevel="0" collapsed="false">
      <c r="A26" s="1"/>
      <c r="B26" s="1"/>
      <c r="C26" s="1"/>
      <c r="D26" s="4"/>
      <c r="E26" s="4"/>
      <c r="F26" s="6" t="str">
        <f aca="false">IF(OR(D26="",E26=""),"",E26-D26)</f>
        <v/>
      </c>
      <c r="G26" s="4"/>
      <c r="H26" s="6" t="str">
        <f aca="false">IF(OR(F26="",G26=""),"",F26*G26)</f>
        <v/>
      </c>
      <c r="I26" s="1"/>
      <c r="J26" s="1"/>
    </row>
    <row r="27" customFormat="false" ht="33.75" hidden="false" customHeight="true" outlineLevel="0" collapsed="false">
      <c r="A27" s="1"/>
      <c r="B27" s="1"/>
      <c r="C27" s="1"/>
      <c r="D27" s="4"/>
      <c r="E27" s="4"/>
      <c r="F27" s="6" t="str">
        <f aca="false">IF(OR(D27="",E27=""),"",E27-D27)</f>
        <v/>
      </c>
      <c r="G27" s="4"/>
      <c r="H27" s="6" t="str">
        <f aca="false">IF(OR(F27="",G27=""),"",F27*G27)</f>
        <v/>
      </c>
      <c r="I27" s="1"/>
      <c r="J27" s="1"/>
    </row>
    <row r="28" customFormat="false" ht="33.75" hidden="false" customHeight="true" outlineLevel="0" collapsed="false">
      <c r="A28" s="1"/>
      <c r="B28" s="1"/>
      <c r="C28" s="1"/>
      <c r="D28" s="4"/>
      <c r="E28" s="4"/>
      <c r="F28" s="6" t="str">
        <f aca="false">IF(OR(D28="",E28=""),"",E28-D28)</f>
        <v/>
      </c>
      <c r="G28" s="4"/>
      <c r="H28" s="6" t="str">
        <f aca="false">IF(OR(F28="",G28=""),"",F28*G28)</f>
        <v/>
      </c>
      <c r="I28" s="1"/>
      <c r="J28" s="1"/>
    </row>
    <row r="29" customFormat="false" ht="33.75" hidden="false" customHeight="true" outlineLevel="0" collapsed="false">
      <c r="A29" s="1"/>
      <c r="B29" s="1"/>
      <c r="C29" s="1"/>
      <c r="D29" s="4"/>
      <c r="E29" s="4"/>
      <c r="F29" s="6" t="str">
        <f aca="false">IF(OR(D29="",E29=""),"",E29-D29)</f>
        <v/>
      </c>
      <c r="G29" s="4"/>
      <c r="H29" s="6" t="str">
        <f aca="false">IF(OR(F29="",G29=""),"",F29*G29)</f>
        <v/>
      </c>
      <c r="I29" s="1"/>
      <c r="J29" s="1"/>
    </row>
    <row r="30" customFormat="false" ht="33.75" hidden="false" customHeight="true" outlineLevel="0" collapsed="false">
      <c r="A30" s="1"/>
      <c r="B30" s="1"/>
      <c r="C30" s="1"/>
      <c r="D30" s="4"/>
      <c r="E30" s="4"/>
      <c r="F30" s="6" t="str">
        <f aca="false">IF(OR(D30="",E30=""),"",E30-D30)</f>
        <v/>
      </c>
      <c r="G30" s="4"/>
      <c r="H30" s="6" t="str">
        <f aca="false">IF(OR(F30="",G30=""),"",F30*G30)</f>
        <v/>
      </c>
      <c r="I30" s="1"/>
      <c r="J30" s="1"/>
    </row>
    <row r="31" customFormat="false" ht="33.75" hidden="false" customHeight="true" outlineLevel="0" collapsed="false">
      <c r="A31" s="1"/>
      <c r="B31" s="1"/>
      <c r="C31" s="1"/>
      <c r="D31" s="4"/>
      <c r="E31" s="4"/>
      <c r="F31" s="6" t="str">
        <f aca="false">IF(OR(D31="",E31=""),"",E31-D31)</f>
        <v/>
      </c>
      <c r="G31" s="4"/>
      <c r="H31" s="6" t="str">
        <f aca="false">IF(OR(F31="",G31=""),"",F31*G31)</f>
        <v/>
      </c>
      <c r="I31" s="1"/>
      <c r="J31" s="1"/>
    </row>
    <row r="32" customFormat="false" ht="33.75" hidden="false" customHeight="true" outlineLevel="0" collapsed="false">
      <c r="A32" s="1"/>
      <c r="B32" s="1"/>
      <c r="C32" s="1"/>
      <c r="D32" s="4"/>
      <c r="E32" s="4"/>
      <c r="F32" s="6" t="str">
        <f aca="false">IF(OR(D32="",E32=""),"",E32-D32)</f>
        <v/>
      </c>
      <c r="G32" s="4"/>
      <c r="H32" s="6" t="str">
        <f aca="false">IF(OR(F32="",G32=""),"",F32*G32)</f>
        <v/>
      </c>
      <c r="I32" s="1"/>
      <c r="J32" s="1"/>
    </row>
  </sheetData>
  <autoFilter ref="A2:J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24"/>
  </cols>
  <sheetData>
    <row r="1" customFormat="false" ht="33.75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178</v>
      </c>
      <c r="B2" s="3" t="s">
        <v>147</v>
      </c>
      <c r="C2" s="3" t="s">
        <v>179</v>
      </c>
      <c r="D2" s="3" t="s">
        <v>180</v>
      </c>
      <c r="E2" s="3" t="s">
        <v>42</v>
      </c>
      <c r="F2" s="3" t="s">
        <v>181</v>
      </c>
      <c r="G2" s="3" t="s">
        <v>182</v>
      </c>
      <c r="H2" s="3" t="s">
        <v>183</v>
      </c>
      <c r="I2" s="3" t="s">
        <v>98</v>
      </c>
    </row>
    <row r="3" customFormat="false" ht="33.75" hidden="false" customHeight="true" outlineLevel="0" collapsed="false">
      <c r="A3" s="1"/>
      <c r="B3" s="1"/>
      <c r="C3" s="1"/>
      <c r="D3" s="1"/>
      <c r="E3" s="4"/>
      <c r="F3" s="4"/>
      <c r="G3" s="4"/>
      <c r="H3" s="6" t="str">
        <f aca="false">IF(OR(E3="",F3="",G3=""),"",IF(AND(G3&gt;0,E3&gt;=F3,F3&gt;=0),(E3-F3)/G3,NA()))</f>
        <v/>
      </c>
      <c r="I3" s="1" t="s">
        <v>184</v>
      </c>
    </row>
    <row r="4" customFormat="false" ht="33.75" hidden="false" customHeight="true" outlineLevel="0" collapsed="false">
      <c r="A4" s="1"/>
      <c r="B4" s="1"/>
      <c r="C4" s="1"/>
      <c r="D4" s="1"/>
      <c r="E4" s="4"/>
      <c r="F4" s="4"/>
      <c r="G4" s="4"/>
      <c r="H4" s="6" t="str">
        <f aca="false">IF(OR(E4="",F4="",G4=""),"",IF(AND(G4&gt;0,E4&gt;=F4,F4&gt;=0),(E4-F4)/G4,NA()))</f>
        <v/>
      </c>
      <c r="I4" s="1"/>
    </row>
    <row r="5" customFormat="false" ht="33.75" hidden="false" customHeight="true" outlineLevel="0" collapsed="false">
      <c r="A5" s="1"/>
      <c r="B5" s="1"/>
      <c r="C5" s="1"/>
      <c r="D5" s="1"/>
      <c r="E5" s="4"/>
      <c r="F5" s="4"/>
      <c r="G5" s="4"/>
      <c r="H5" s="6" t="str">
        <f aca="false">IF(OR(E5="",F5="",G5=""),"",IF(AND(G5&gt;0,E5&gt;=F5,F5&gt;=0),(E5-F5)/G5,NA()))</f>
        <v/>
      </c>
      <c r="I5" s="1"/>
    </row>
    <row r="6" customFormat="false" ht="33.75" hidden="false" customHeight="true" outlineLevel="0" collapsed="false">
      <c r="A6" s="1"/>
      <c r="B6" s="1"/>
      <c r="C6" s="1"/>
      <c r="D6" s="1"/>
      <c r="E6" s="4"/>
      <c r="F6" s="4"/>
      <c r="G6" s="4"/>
      <c r="H6" s="6" t="str">
        <f aca="false">IF(OR(E6="",F6="",G6=""),"",IF(AND(G6&gt;0,E6&gt;=F6,F6&gt;=0),(E6-F6)/G6,NA()))</f>
        <v/>
      </c>
      <c r="I6" s="1"/>
    </row>
    <row r="7" customFormat="false" ht="33.75" hidden="false" customHeight="true" outlineLevel="0" collapsed="false">
      <c r="A7" s="1"/>
      <c r="B7" s="1"/>
      <c r="C7" s="1"/>
      <c r="D7" s="1"/>
      <c r="E7" s="4"/>
      <c r="F7" s="4"/>
      <c r="G7" s="4"/>
      <c r="H7" s="6" t="str">
        <f aca="false">IF(OR(E7="",F7="",G7=""),"",IF(AND(G7&gt;0,E7&gt;=F7,F7&gt;=0),(E7-F7)/G7,NA()))</f>
        <v/>
      </c>
      <c r="I7" s="1"/>
    </row>
    <row r="8" customFormat="false" ht="33.75" hidden="false" customHeight="true" outlineLevel="0" collapsed="false">
      <c r="A8" s="1"/>
      <c r="B8" s="1"/>
      <c r="C8" s="1"/>
      <c r="D8" s="1"/>
      <c r="E8" s="4"/>
      <c r="F8" s="4"/>
      <c r="G8" s="4"/>
      <c r="H8" s="6" t="str">
        <f aca="false">IF(OR(E8="",F8="",G8=""),"",IF(AND(G8&gt;0,E8&gt;=F8,F8&gt;=0),(E8-F8)/G8,NA()))</f>
        <v/>
      </c>
      <c r="I8" s="1"/>
    </row>
    <row r="9" customFormat="false" ht="33.75" hidden="false" customHeight="true" outlineLevel="0" collapsed="false">
      <c r="A9" s="1"/>
      <c r="B9" s="1"/>
      <c r="C9" s="1"/>
      <c r="D9" s="1"/>
      <c r="E9" s="4"/>
      <c r="F9" s="4"/>
      <c r="G9" s="4"/>
      <c r="H9" s="6" t="str">
        <f aca="false">IF(OR(E9="",F9="",G9=""),"",IF(AND(G9&gt;0,E9&gt;=F9,F9&gt;=0),(E9-F9)/G9,NA()))</f>
        <v/>
      </c>
      <c r="I9" s="1"/>
    </row>
    <row r="10" customFormat="false" ht="33.75" hidden="false" customHeight="true" outlineLevel="0" collapsed="false">
      <c r="A10" s="1"/>
      <c r="B10" s="1"/>
      <c r="C10" s="1"/>
      <c r="D10" s="1"/>
      <c r="E10" s="4"/>
      <c r="F10" s="4"/>
      <c r="G10" s="4"/>
      <c r="H10" s="6" t="str">
        <f aca="false">IF(OR(E10="",F10="",G10=""),"",IF(AND(G10&gt;0,E10&gt;=F10,F10&gt;=0),(E10-F10)/G10,NA()))</f>
        <v/>
      </c>
      <c r="I10" s="1"/>
    </row>
    <row r="11" customFormat="false" ht="33.75" hidden="false" customHeight="true" outlineLevel="0" collapsed="false">
      <c r="A11" s="1"/>
      <c r="B11" s="1"/>
      <c r="C11" s="1"/>
      <c r="D11" s="1"/>
      <c r="E11" s="4"/>
      <c r="F11" s="4"/>
      <c r="G11" s="4"/>
      <c r="H11" s="6" t="str">
        <f aca="false">IF(OR(E11="",F11="",G11=""),"",IF(AND(G11&gt;0,E11&gt;=F11,F11&gt;=0),(E11-F11)/G11,NA()))</f>
        <v/>
      </c>
      <c r="I11" s="1"/>
    </row>
    <row r="12" customFormat="false" ht="33.75" hidden="false" customHeight="true" outlineLevel="0" collapsed="false">
      <c r="A12" s="1"/>
      <c r="B12" s="1"/>
      <c r="C12" s="1"/>
      <c r="D12" s="1"/>
      <c r="E12" s="4"/>
      <c r="F12" s="4"/>
      <c r="G12" s="4"/>
      <c r="H12" s="6" t="str">
        <f aca="false">IF(OR(E12="",F12="",G12=""),"",IF(AND(G12&gt;0,E12&gt;=F12,F12&gt;=0),(E12-F12)/G12,NA()))</f>
        <v/>
      </c>
      <c r="I12" s="1"/>
    </row>
    <row r="13" customFormat="false" ht="33.75" hidden="false" customHeight="true" outlineLevel="0" collapsed="false">
      <c r="A13" s="1"/>
      <c r="B13" s="1"/>
      <c r="C13" s="1"/>
      <c r="D13" s="1"/>
      <c r="E13" s="4"/>
      <c r="F13" s="4"/>
      <c r="G13" s="4"/>
      <c r="H13" s="6" t="str">
        <f aca="false">IF(OR(E13="",F13="",G13=""),"",IF(AND(G13&gt;0,E13&gt;=F13,F13&gt;=0),(E13-F13)/G13,NA()))</f>
        <v/>
      </c>
      <c r="I13" s="1"/>
    </row>
    <row r="14" customFormat="false" ht="33.75" hidden="false" customHeight="true" outlineLevel="0" collapsed="false">
      <c r="A14" s="1"/>
      <c r="B14" s="1"/>
      <c r="C14" s="1"/>
      <c r="D14" s="1"/>
      <c r="E14" s="4"/>
      <c r="F14" s="4"/>
      <c r="G14" s="4"/>
      <c r="H14" s="6" t="str">
        <f aca="false">IF(OR(E14="",F14="",G14=""),"",IF(AND(G14&gt;0,E14&gt;=F14,F14&gt;=0),(E14-F14)/G14,NA()))</f>
        <v/>
      </c>
      <c r="I14" s="1"/>
    </row>
    <row r="15" customFormat="false" ht="33.75" hidden="false" customHeight="true" outlineLevel="0" collapsed="false">
      <c r="A15" s="1"/>
      <c r="B15" s="1"/>
      <c r="C15" s="1"/>
      <c r="D15" s="1"/>
      <c r="E15" s="4"/>
      <c r="F15" s="4"/>
      <c r="G15" s="4"/>
      <c r="H15" s="6" t="str">
        <f aca="false">IF(OR(E15="",F15="",G15=""),"",IF(AND(G15&gt;0,E15&gt;=F15,F15&gt;=0),(E15-F15)/G15,NA()))</f>
        <v/>
      </c>
      <c r="I15" s="1"/>
    </row>
    <row r="16" customFormat="false" ht="33.75" hidden="false" customHeight="true" outlineLevel="0" collapsed="false">
      <c r="A16" s="1"/>
      <c r="B16" s="1"/>
      <c r="C16" s="1"/>
      <c r="D16" s="1"/>
      <c r="E16" s="4"/>
      <c r="F16" s="4"/>
      <c r="G16" s="4"/>
      <c r="H16" s="6" t="str">
        <f aca="false">IF(OR(E16="",F16="",G16=""),"",IF(AND(G16&gt;0,E16&gt;=F16,F16&gt;=0),(E16-F16)/G16,NA()))</f>
        <v/>
      </c>
      <c r="I16" s="1"/>
    </row>
    <row r="17" customFormat="false" ht="33.75" hidden="false" customHeight="true" outlineLevel="0" collapsed="false">
      <c r="A17" s="1"/>
      <c r="B17" s="1"/>
      <c r="C17" s="1"/>
      <c r="D17" s="1"/>
      <c r="E17" s="4"/>
      <c r="F17" s="4"/>
      <c r="G17" s="4"/>
      <c r="H17" s="6" t="str">
        <f aca="false">IF(OR(E17="",F17="",G17=""),"",IF(AND(G17&gt;0,E17&gt;=F17,F17&gt;=0),(E17-F17)/G17,NA()))</f>
        <v/>
      </c>
      <c r="I17" s="1"/>
    </row>
    <row r="18" customFormat="false" ht="33.75" hidden="false" customHeight="true" outlineLevel="0" collapsed="false">
      <c r="A18" s="1"/>
      <c r="B18" s="1"/>
      <c r="C18" s="1"/>
      <c r="D18" s="1"/>
      <c r="E18" s="4"/>
      <c r="F18" s="4"/>
      <c r="G18" s="4"/>
      <c r="H18" s="6" t="str">
        <f aca="false">IF(OR(E18="",F18="",G18=""),"",IF(AND(G18&gt;0,E18&gt;=F18,F18&gt;=0),(E18-F18)/G18,NA()))</f>
        <v/>
      </c>
      <c r="I18" s="1"/>
    </row>
    <row r="19" customFormat="false" ht="33.75" hidden="false" customHeight="true" outlineLevel="0" collapsed="false">
      <c r="A19" s="1"/>
      <c r="B19" s="1"/>
      <c r="C19" s="1"/>
      <c r="D19" s="1"/>
      <c r="E19" s="4"/>
      <c r="F19" s="4"/>
      <c r="G19" s="4"/>
      <c r="H19" s="6" t="str">
        <f aca="false">IF(OR(E19="",F19="",G19=""),"",IF(AND(G19&gt;0,E19&gt;=F19,F19&gt;=0),(E19-F19)/G19,NA()))</f>
        <v/>
      </c>
      <c r="I19" s="1"/>
    </row>
    <row r="20" customFormat="false" ht="33.75" hidden="false" customHeight="true" outlineLevel="0" collapsed="false">
      <c r="A20" s="1"/>
      <c r="B20" s="1"/>
      <c r="C20" s="1"/>
      <c r="D20" s="1"/>
      <c r="E20" s="4"/>
      <c r="F20" s="4"/>
      <c r="G20" s="4"/>
      <c r="H20" s="6" t="str">
        <f aca="false">IF(OR(E20="",F20="",G20=""),"",IF(AND(G20&gt;0,E20&gt;=F20,F20&gt;=0),(E20-F20)/G20,NA()))</f>
        <v/>
      </c>
      <c r="I20" s="1"/>
    </row>
    <row r="21" customFormat="false" ht="33.75" hidden="false" customHeight="true" outlineLevel="0" collapsed="false">
      <c r="A21" s="1"/>
      <c r="B21" s="1"/>
      <c r="C21" s="1"/>
      <c r="D21" s="1"/>
      <c r="E21" s="4"/>
      <c r="F21" s="4"/>
      <c r="G21" s="4"/>
      <c r="H21" s="6" t="str">
        <f aca="false">IF(OR(E21="",F21="",G21=""),"",IF(AND(G21&gt;0,E21&gt;=F21,F21&gt;=0),(E21-F21)/G21,NA()))</f>
        <v/>
      </c>
      <c r="I21" s="1"/>
    </row>
    <row r="22" customFormat="false" ht="33.75" hidden="false" customHeight="true" outlineLevel="0" collapsed="false">
      <c r="A22" s="1"/>
      <c r="B22" s="1"/>
      <c r="C22" s="1"/>
      <c r="D22" s="1"/>
      <c r="E22" s="4"/>
      <c r="F22" s="4"/>
      <c r="G22" s="4"/>
      <c r="H22" s="6" t="str">
        <f aca="false">IF(OR(E22="",F22="",G22=""),"",IF(AND(G22&gt;0,E22&gt;=F22,F22&gt;=0),(E22-F22)/G22,NA()))</f>
        <v/>
      </c>
      <c r="I22" s="1"/>
    </row>
    <row r="23" customFormat="false" ht="33.75" hidden="false" customHeight="true" outlineLevel="0" collapsed="false">
      <c r="A23" s="1"/>
      <c r="B23" s="1"/>
      <c r="C23" s="1"/>
      <c r="D23" s="1"/>
      <c r="E23" s="4"/>
      <c r="F23" s="4"/>
      <c r="G23" s="4"/>
      <c r="H23" s="6" t="str">
        <f aca="false">IF(OR(E23="",F23="",G23=""),"",IF(AND(G23&gt;0,E23&gt;=F23,F23&gt;=0),(E23-F23)/G23,NA()))</f>
        <v/>
      </c>
      <c r="I23" s="1"/>
    </row>
    <row r="24" customFormat="false" ht="33.75" hidden="false" customHeight="true" outlineLevel="0" collapsed="false">
      <c r="A24" s="1"/>
      <c r="B24" s="1"/>
      <c r="C24" s="1"/>
      <c r="D24" s="1"/>
      <c r="E24" s="4"/>
      <c r="F24" s="4"/>
      <c r="G24" s="4"/>
      <c r="H24" s="6" t="str">
        <f aca="false">IF(OR(E24="",F24="",G24=""),"",IF(AND(G24&gt;0,E24&gt;=F24,F24&gt;=0),(E24-F24)/G24,NA()))</f>
        <v/>
      </c>
      <c r="I24" s="1"/>
    </row>
    <row r="25" customFormat="false" ht="33.75" hidden="false" customHeight="true" outlineLevel="0" collapsed="false">
      <c r="A25" s="1"/>
      <c r="B25" s="1"/>
      <c r="C25" s="1"/>
      <c r="D25" s="1"/>
      <c r="E25" s="4"/>
      <c r="F25" s="4"/>
      <c r="G25" s="4"/>
      <c r="H25" s="6" t="str">
        <f aca="false">IF(OR(E25="",F25="",G25=""),"",IF(AND(G25&gt;0,E25&gt;=F25,F25&gt;=0),(E25-F25)/G25,NA()))</f>
        <v/>
      </c>
      <c r="I25" s="1"/>
    </row>
    <row r="26" customFormat="false" ht="33.75" hidden="false" customHeight="true" outlineLevel="0" collapsed="false">
      <c r="A26" s="1"/>
      <c r="B26" s="1"/>
      <c r="C26" s="1"/>
      <c r="D26" s="1"/>
      <c r="E26" s="4"/>
      <c r="F26" s="4"/>
      <c r="G26" s="4"/>
      <c r="H26" s="6" t="str">
        <f aca="false">IF(OR(E26="",F26="",G26=""),"",IF(AND(G26&gt;0,E26&gt;=F26,F26&gt;=0),(E26-F26)/G26,NA()))</f>
        <v/>
      </c>
      <c r="I26" s="1"/>
    </row>
    <row r="27" customFormat="false" ht="33.75" hidden="false" customHeight="true" outlineLevel="0" collapsed="false">
      <c r="A27" s="1"/>
      <c r="B27" s="1"/>
      <c r="C27" s="1"/>
      <c r="D27" s="1"/>
      <c r="E27" s="4"/>
      <c r="F27" s="4"/>
      <c r="G27" s="4"/>
      <c r="H27" s="6" t="str">
        <f aca="false">IF(OR(E27="",F27="",G27=""),"",IF(AND(G27&gt;0,E27&gt;=F27,F27&gt;=0),(E27-F27)/G27,NA()))</f>
        <v/>
      </c>
      <c r="I27" s="1"/>
    </row>
    <row r="28" customFormat="false" ht="33.75" hidden="false" customHeight="true" outlineLevel="0" collapsed="false">
      <c r="A28" s="1"/>
      <c r="B28" s="1"/>
      <c r="C28" s="1"/>
      <c r="D28" s="1"/>
      <c r="E28" s="4"/>
      <c r="F28" s="4"/>
      <c r="G28" s="4"/>
      <c r="H28" s="6" t="str">
        <f aca="false">IF(OR(E28="",F28="",G28=""),"",IF(AND(G28&gt;0,E28&gt;=F28,F28&gt;=0),(E28-F28)/G28,NA()))</f>
        <v/>
      </c>
      <c r="I28" s="1"/>
    </row>
    <row r="29" customFormat="false" ht="33.75" hidden="false" customHeight="true" outlineLevel="0" collapsed="false">
      <c r="A29" s="1"/>
      <c r="B29" s="1"/>
      <c r="C29" s="1"/>
      <c r="D29" s="1"/>
      <c r="E29" s="4"/>
      <c r="F29" s="4"/>
      <c r="G29" s="4"/>
      <c r="H29" s="6" t="str">
        <f aca="false">IF(OR(E29="",F29="",G29=""),"",IF(AND(G29&gt;0,E29&gt;=F29,F29&gt;=0),(E29-F29)/G29,NA()))</f>
        <v/>
      </c>
      <c r="I29" s="1"/>
    </row>
    <row r="30" customFormat="false" ht="33.75" hidden="false" customHeight="true" outlineLevel="0" collapsed="false">
      <c r="A30" s="1"/>
      <c r="B30" s="1"/>
      <c r="C30" s="1"/>
      <c r="D30" s="1"/>
      <c r="E30" s="4"/>
      <c r="F30" s="4"/>
      <c r="G30" s="4"/>
      <c r="H30" s="6" t="str">
        <f aca="false">IF(OR(E30="",F30="",G30=""),"",IF(AND(G30&gt;0,E30&gt;=F30,F30&gt;=0),(E30-F30)/G30,NA()))</f>
        <v/>
      </c>
      <c r="I30" s="1"/>
    </row>
    <row r="31" customFormat="false" ht="33.75" hidden="false" customHeight="true" outlineLevel="0" collapsed="false">
      <c r="A31" s="1"/>
      <c r="B31" s="1"/>
      <c r="C31" s="1"/>
      <c r="D31" s="1"/>
      <c r="E31" s="4"/>
      <c r="F31" s="4"/>
      <c r="G31" s="4"/>
      <c r="H31" s="6" t="str">
        <f aca="false">IF(OR(E31="",F31="",G31=""),"",IF(AND(G31&gt;0,E31&gt;=F31,F31&gt;=0),(E31-F31)/G31,NA()))</f>
        <v/>
      </c>
      <c r="I31" s="1"/>
    </row>
    <row r="32" customFormat="false" ht="33.75" hidden="false" customHeight="true" outlineLevel="0" collapsed="false">
      <c r="A32" s="1"/>
      <c r="B32" s="1"/>
      <c r="C32" s="1"/>
      <c r="D32" s="1"/>
      <c r="E32" s="4"/>
      <c r="F32" s="4"/>
      <c r="G32" s="4"/>
      <c r="H32" s="6" t="str">
        <f aca="false">IF(OR(E32="",F32="",G32=""),"",IF(AND(G32&gt;0,E32&gt;=F32,F32&gt;=0),(E32-F32)/G32,NA()))</f>
        <v/>
      </c>
      <c r="I32" s="1"/>
    </row>
  </sheetData>
  <autoFilter ref="A2:I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24"/>
  </cols>
  <sheetData>
    <row r="1" customFormat="false" ht="33.75" hidden="false" customHeight="true" outlineLevel="0" collapsed="false">
      <c r="A1" s="2" t="s">
        <v>185</v>
      </c>
      <c r="B1" s="2"/>
      <c r="C1" s="2"/>
      <c r="D1" s="2"/>
      <c r="E1" s="2"/>
      <c r="F1" s="2"/>
      <c r="G1" s="2"/>
      <c r="H1" s="2"/>
    </row>
    <row r="2" customFormat="false" ht="33.75" hidden="false" customHeight="true" outlineLevel="0" collapsed="false">
      <c r="A2" s="3" t="s">
        <v>186</v>
      </c>
      <c r="B2" s="3" t="s">
        <v>187</v>
      </c>
      <c r="C2" s="3" t="s">
        <v>129</v>
      </c>
      <c r="D2" s="3" t="s">
        <v>188</v>
      </c>
      <c r="E2" s="3" t="s">
        <v>130</v>
      </c>
      <c r="F2" s="3" t="s">
        <v>189</v>
      </c>
      <c r="G2" s="3" t="s">
        <v>190</v>
      </c>
      <c r="H2" s="3" t="s">
        <v>191</v>
      </c>
    </row>
    <row r="3" customFormat="false" ht="33.75" hidden="false" customHeight="true" outlineLevel="0" collapsed="false">
      <c r="A3" s="1"/>
      <c r="B3" s="1" t="s">
        <v>192</v>
      </c>
      <c r="C3" s="1"/>
      <c r="D3" s="1"/>
      <c r="E3" s="1"/>
      <c r="F3" s="1"/>
      <c r="G3" s="1"/>
      <c r="H3" s="1"/>
    </row>
    <row r="4" customFormat="false" ht="33.75" hidden="false" customHeight="true" outlineLevel="0" collapsed="false">
      <c r="A4" s="1"/>
      <c r="B4" s="1" t="s">
        <v>193</v>
      </c>
      <c r="C4" s="1"/>
      <c r="D4" s="1"/>
      <c r="E4" s="1"/>
      <c r="F4" s="1"/>
      <c r="G4" s="1"/>
      <c r="H4" s="1"/>
    </row>
    <row r="5" customFormat="false" ht="33.75" hidden="false" customHeight="true" outlineLevel="0" collapsed="false">
      <c r="A5" s="1"/>
      <c r="B5" s="1" t="s">
        <v>194</v>
      </c>
      <c r="C5" s="1"/>
      <c r="D5" s="1"/>
      <c r="E5" s="1"/>
      <c r="F5" s="1"/>
      <c r="G5" s="1"/>
      <c r="H5" s="1"/>
    </row>
    <row r="6" customFormat="false" ht="33.75" hidden="false" customHeight="true" outlineLevel="0" collapsed="false">
      <c r="A6" s="1"/>
      <c r="B6" s="1" t="s">
        <v>195</v>
      </c>
      <c r="C6" s="1"/>
      <c r="D6" s="1"/>
      <c r="E6" s="1"/>
      <c r="F6" s="1"/>
      <c r="G6" s="1"/>
      <c r="H6" s="1"/>
    </row>
    <row r="7" customFormat="false" ht="33.75" hidden="false" customHeight="true" outlineLevel="0" collapsed="false">
      <c r="A7" s="1"/>
      <c r="B7" s="1" t="s">
        <v>196</v>
      </c>
      <c r="C7" s="1"/>
      <c r="D7" s="1"/>
      <c r="E7" s="1"/>
      <c r="F7" s="1"/>
      <c r="G7" s="1"/>
      <c r="H7" s="1"/>
    </row>
    <row r="8" customFormat="false" ht="33.75" hidden="false" customHeight="true" outlineLevel="0" collapsed="false">
      <c r="A8" s="1"/>
      <c r="B8" s="1" t="s">
        <v>197</v>
      </c>
      <c r="C8" s="1"/>
      <c r="D8" s="1"/>
      <c r="E8" s="1"/>
      <c r="F8" s="1"/>
      <c r="G8" s="1"/>
      <c r="H8" s="1"/>
    </row>
    <row r="9" customFormat="false" ht="33.75" hidden="false" customHeight="true" outlineLevel="0" collapsed="false">
      <c r="A9" s="1"/>
      <c r="B9" s="1" t="s">
        <v>198</v>
      </c>
      <c r="C9" s="1"/>
      <c r="D9" s="1"/>
      <c r="E9" s="1"/>
      <c r="F9" s="1"/>
      <c r="G9" s="1"/>
      <c r="H9" s="1"/>
    </row>
    <row r="10" customFormat="false" ht="33.75" hidden="false" customHeight="true" outlineLevel="0" collapsed="false">
      <c r="A10" s="1"/>
      <c r="B10" s="1" t="s">
        <v>199</v>
      </c>
      <c r="C10" s="1"/>
      <c r="D10" s="1"/>
      <c r="E10" s="1"/>
      <c r="F10" s="1"/>
      <c r="G10" s="1"/>
      <c r="H10" s="1"/>
    </row>
    <row r="11" customFormat="false" ht="33.75" hidden="false" customHeight="true" outlineLevel="0" collapsed="false">
      <c r="A11" s="1"/>
      <c r="B11" s="1" t="s">
        <v>200</v>
      </c>
      <c r="C11" s="1"/>
      <c r="D11" s="1"/>
      <c r="E11" s="1"/>
      <c r="F11" s="1"/>
      <c r="G11" s="1"/>
      <c r="H11" s="1"/>
    </row>
    <row r="12" customFormat="false" ht="33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</row>
    <row r="13" customFormat="false" ht="33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</row>
    <row r="14" customFormat="false" ht="33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33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33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33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33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33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33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33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33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33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33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3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33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33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33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33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3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33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33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</row>
  </sheetData>
  <autoFilter ref="A2:H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</cols>
  <sheetData>
    <row r="1" customFormat="false" ht="33.75" hidden="false" customHeight="true" outlineLevel="0" collapsed="false">
      <c r="A1" s="2" t="s">
        <v>127</v>
      </c>
      <c r="B1" s="2"/>
      <c r="C1" s="2"/>
    </row>
    <row r="2" customFormat="false" ht="33.75" hidden="false" customHeight="true" outlineLevel="0" collapsed="false">
      <c r="A2" s="3" t="s">
        <v>201</v>
      </c>
      <c r="B2" s="3" t="s">
        <v>202</v>
      </c>
      <c r="C2" s="3" t="s">
        <v>191</v>
      </c>
    </row>
    <row r="3" customFormat="false" ht="33.75" hidden="false" customHeight="true" outlineLevel="0" collapsed="false">
      <c r="A3" s="1" t="s">
        <v>203</v>
      </c>
      <c r="B3" s="1"/>
      <c r="C3" s="1"/>
    </row>
    <row r="4" customFormat="false" ht="33.75" hidden="false" customHeight="true" outlineLevel="0" collapsed="false">
      <c r="A4" s="1" t="s">
        <v>66</v>
      </c>
      <c r="B4" s="1"/>
      <c r="C4" s="1"/>
    </row>
    <row r="5" customFormat="false" ht="33.75" hidden="false" customHeight="true" outlineLevel="0" collapsed="false">
      <c r="A5" s="1" t="s">
        <v>154</v>
      </c>
      <c r="B5" s="1"/>
      <c r="C5" s="1"/>
    </row>
    <row r="6" customFormat="false" ht="33.75" hidden="false" customHeight="true" outlineLevel="0" collapsed="false">
      <c r="A6" s="1" t="s">
        <v>204</v>
      </c>
      <c r="B6" s="1"/>
      <c r="C6" s="1"/>
    </row>
    <row r="7" customFormat="false" ht="33.75" hidden="false" customHeight="true" outlineLevel="0" collapsed="false">
      <c r="A7" s="1" t="s">
        <v>205</v>
      </c>
      <c r="B7" s="1"/>
      <c r="C7" s="1"/>
    </row>
    <row r="8" customFormat="false" ht="33.75" hidden="false" customHeight="true" outlineLevel="0" collapsed="false">
      <c r="A8" s="1" t="s">
        <v>206</v>
      </c>
      <c r="B8" s="1"/>
      <c r="C8" s="1"/>
    </row>
    <row r="9" customFormat="false" ht="33.75" hidden="false" customHeight="true" outlineLevel="0" collapsed="false">
      <c r="A9" s="1" t="s">
        <v>207</v>
      </c>
      <c r="B9" s="1"/>
      <c r="C9" s="1"/>
    </row>
    <row r="10" customFormat="false" ht="33.75" hidden="false" customHeight="true" outlineLevel="0" collapsed="false">
      <c r="A10" s="1" t="s">
        <v>208</v>
      </c>
      <c r="B10" s="1"/>
      <c r="C10" s="1"/>
    </row>
    <row r="11" customFormat="false" ht="33.75" hidden="false" customHeight="true" outlineLevel="0" collapsed="false">
      <c r="A11" s="1" t="s">
        <v>209</v>
      </c>
      <c r="B11" s="1"/>
      <c r="C11" s="1"/>
    </row>
    <row r="12" customFormat="false" ht="33.75" hidden="false" customHeight="true" outlineLevel="0" collapsed="false">
      <c r="A12" s="1" t="s">
        <v>19</v>
      </c>
      <c r="B12" s="1"/>
      <c r="C12" s="1"/>
    </row>
    <row r="13" customFormat="false" ht="33.75" hidden="false" customHeight="true" outlineLevel="0" collapsed="false">
      <c r="A13" s="1" t="s">
        <v>210</v>
      </c>
      <c r="B13" s="1"/>
      <c r="C13" s="1"/>
    </row>
    <row r="14" customFormat="false" ht="33.75" hidden="false" customHeight="true" outlineLevel="0" collapsed="false">
      <c r="A14" s="1" t="s">
        <v>211</v>
      </c>
      <c r="B14" s="1"/>
      <c r="C14" s="1"/>
    </row>
    <row r="15" customFormat="false" ht="33.75" hidden="false" customHeight="true" outlineLevel="0" collapsed="false">
      <c r="A15" s="1" t="s">
        <v>212</v>
      </c>
      <c r="B15" s="1"/>
      <c r="C15" s="1"/>
    </row>
    <row r="16" customFormat="false" ht="33.75" hidden="false" customHeight="true" outlineLevel="0" collapsed="false">
      <c r="A16" s="1" t="s">
        <v>213</v>
      </c>
      <c r="B16" s="1"/>
      <c r="C16" s="1"/>
    </row>
    <row r="17" customFormat="false" ht="33.75" hidden="false" customHeight="true" outlineLevel="0" collapsed="false">
      <c r="A17" s="1" t="s">
        <v>214</v>
      </c>
      <c r="B17" s="1"/>
      <c r="C17" s="1"/>
    </row>
    <row r="18" customFormat="false" ht="33.75" hidden="false" customHeight="true" outlineLevel="0" collapsed="false">
      <c r="A18" s="1" t="s">
        <v>215</v>
      </c>
      <c r="B18" s="1"/>
      <c r="C18" s="1"/>
    </row>
    <row r="19" customFormat="false" ht="33.75" hidden="false" customHeight="true" outlineLevel="0" collapsed="false">
      <c r="A19" s="1" t="s">
        <v>216</v>
      </c>
      <c r="B19" s="1"/>
      <c r="C19" s="1"/>
    </row>
    <row r="20" customFormat="false" ht="33.75" hidden="false" customHeight="true" outlineLevel="0" collapsed="false">
      <c r="A20" s="1"/>
      <c r="B20" s="1"/>
      <c r="C20" s="1"/>
    </row>
    <row r="21" customFormat="false" ht="33.75" hidden="false" customHeight="true" outlineLevel="0" collapsed="false">
      <c r="A21" s="1"/>
      <c r="B21" s="1"/>
      <c r="C21" s="1"/>
    </row>
    <row r="22" customFormat="false" ht="33.75" hidden="false" customHeight="true" outlineLevel="0" collapsed="false">
      <c r="A22" s="1"/>
      <c r="B22" s="1"/>
      <c r="C22" s="1"/>
    </row>
    <row r="23" customFormat="false" ht="33.75" hidden="false" customHeight="true" outlineLevel="0" collapsed="false">
      <c r="A23" s="1"/>
      <c r="B23" s="1"/>
      <c r="C23" s="1"/>
    </row>
    <row r="24" customFormat="false" ht="33.75" hidden="false" customHeight="true" outlineLevel="0" collapsed="false">
      <c r="A24" s="1"/>
      <c r="B24" s="1"/>
      <c r="C24" s="1"/>
    </row>
    <row r="25" customFormat="false" ht="33.75" hidden="false" customHeight="true" outlineLevel="0" collapsed="false">
      <c r="A25" s="1"/>
      <c r="B25" s="1"/>
      <c r="C25" s="1"/>
    </row>
    <row r="26" customFormat="false" ht="33.75" hidden="false" customHeight="true" outlineLevel="0" collapsed="false">
      <c r="A26" s="1"/>
      <c r="B26" s="1"/>
      <c r="C26" s="1"/>
    </row>
    <row r="27" customFormat="false" ht="33.75" hidden="false" customHeight="true" outlineLevel="0" collapsed="false">
      <c r="A27" s="1"/>
      <c r="B27" s="1"/>
      <c r="C27" s="1"/>
    </row>
    <row r="28" customFormat="false" ht="33.75" hidden="false" customHeight="true" outlineLevel="0" collapsed="false">
      <c r="A28" s="1"/>
      <c r="B28" s="1"/>
      <c r="C28" s="1"/>
    </row>
    <row r="29" customFormat="false" ht="33.75" hidden="false" customHeight="true" outlineLevel="0" collapsed="false">
      <c r="A29" s="1"/>
      <c r="B29" s="1"/>
      <c r="C29" s="1"/>
    </row>
    <row r="30" customFormat="false" ht="33.75" hidden="false" customHeight="true" outlineLevel="0" collapsed="false">
      <c r="A30" s="1"/>
      <c r="B30" s="1"/>
      <c r="C30" s="1"/>
    </row>
    <row r="31" customFormat="false" ht="33.75" hidden="false" customHeight="true" outlineLevel="0" collapsed="false">
      <c r="A31" s="1"/>
      <c r="B31" s="1"/>
      <c r="C31" s="1"/>
    </row>
    <row r="32" customFormat="false" ht="33.75" hidden="false" customHeight="true" outlineLevel="0" collapsed="false">
      <c r="A32" s="1"/>
      <c r="B32" s="1"/>
      <c r="C32" s="1"/>
    </row>
  </sheetData>
  <autoFilter ref="A2:C32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&amp;Cصفحة &amp;P من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2026-10-28T13:54:54Z</dcterms:created>
  <dc:creator>openpyxl</dc:creator>
  <dc:description/>
  <dc:language>en-US</dc:language>
  <cp:lastModifiedBy/>
  <dcterms:modified xsi:type="dcterms:W3CDTF">2026-10-28T13:54:54Z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